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inel" sheetId="2" state="visible" r:id="rId4"/>
    <sheet name="Lançamentos" sheetId="3" state="visible" r:id="rId5"/>
    <sheet name="Projeção" sheetId="4" state="visible" r:id="rId6"/>
    <sheet name="Cadastros" sheetId="5" state="visible" r:id="rId7"/>
  </sheets>
  <definedNames>
    <definedName function="false" hidden="false" localSheetId="0" name="_xlnm.Print_Area" vbProcedure="false">Dashboard!$A$1:$M$64</definedName>
    <definedName function="false" hidden="false" localSheetId="2" name="_xlnm.Print_Titles" vbProcedure="false">Lançamentos!$4:$4</definedName>
    <definedName function="false" hidden="true" localSheetId="2" name="_xlnm._FilterDatabase" vbProcedure="false">Lançamentos!$A$4:$U$504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<sst xmlns="http://schemas.openxmlformats.org/spreadsheetml/2006/main" count="144" uniqueCount="120">
  <si>
    <t xml:space="preserve">G3 SOLAR  |  DASHBOARD FINANCEIRO</t>
  </si>
  <si>
    <t xml:space="preserve">Contas a pagar — visão dos sócios</t>
  </si>
  <si>
    <t xml:space="preserve">ANO  ▸</t>
  </si>
  <si>
    <t xml:space="preserve">MÊS (1 a 12)  ▸</t>
  </si>
  <si>
    <t xml:space="preserve">Mês analisado  ▸</t>
  </si>
  <si>
    <t xml:space="preserve">Altere as células amarelas: todo o painel acompanha</t>
  </si>
  <si>
    <t xml:space="preserve">PREVISTO NO MÊS</t>
  </si>
  <si>
    <t xml:space="preserve">PAGO NO MÊS</t>
  </si>
  <si>
    <t xml:space="preserve">EM ABERTO NO MÊS</t>
  </si>
  <si>
    <t xml:space="preserve">VENCIDO (ACUMULADO)</t>
  </si>
  <si>
    <t xml:space="preserve">A VENCER EM 7 DIAS</t>
  </si>
  <si>
    <t xml:space="preserve">PROJEÇÃO PRÓX. 12 MESES</t>
  </si>
  <si>
    <t xml:space="preserve">BASE DOS GRÁFICOS (não apagar)</t>
  </si>
  <si>
    <t xml:space="preserve">Situação dos títulos</t>
  </si>
  <si>
    <t xml:space="preserve">Valor</t>
  </si>
  <si>
    <t xml:space="preserve">Pago</t>
  </si>
  <si>
    <t xml:space="preserve">A vencer</t>
  </si>
  <si>
    <t xml:space="preserve">Vencido</t>
  </si>
  <si>
    <t xml:space="preserve">Fixas x Variáveis (ano)</t>
  </si>
  <si>
    <t xml:space="preserve">Fixas</t>
  </si>
  <si>
    <t xml:space="preserve">Variáveis</t>
  </si>
  <si>
    <t xml:space="preserve">G3 SOLAR  |  CONTAS A PAGAR</t>
  </si>
  <si>
    <t xml:space="preserve">Painel financeiro — atualiza sozinho a partir da aba Lançamentos</t>
  </si>
  <si>
    <t xml:space="preserve">Período analisado  ▸</t>
  </si>
  <si>
    <t xml:space="preserve">Definido na aba Dashboard</t>
  </si>
  <si>
    <t xml:space="preserve">INDICADORES</t>
  </si>
  <si>
    <t xml:space="preserve">% LIQUIDADO NO MÊS</t>
  </si>
  <si>
    <t xml:space="preserve">Mês selecionado</t>
  </si>
  <si>
    <t xml:space="preserve">DESPESAS POR PLANO DE CONTAS — mês selecionado</t>
  </si>
  <si>
    <t xml:space="preserve">PLANO DE CONTAS</t>
  </si>
  <si>
    <t xml:space="preserve">PREVISTO</t>
  </si>
  <si>
    <t xml:space="preserve">PAGO</t>
  </si>
  <si>
    <t xml:space="preserve">EM ABERTO</t>
  </si>
  <si>
    <t xml:space="preserve">% DO TOTAL</t>
  </si>
  <si>
    <t xml:space="preserve">TOTAL</t>
  </si>
  <si>
    <t xml:space="preserve">PREVISTO x REALIZADO — por mês de vencimento</t>
  </si>
  <si>
    <t xml:space="preserve">MÊS</t>
  </si>
  <si>
    <t xml:space="preserve">REALIZADO (PAGO)</t>
  </si>
  <si>
    <t xml:space="preserve">DESPESAS FIXAS</t>
  </si>
  <si>
    <t xml:space="preserve">DESPESAS VARIÁVEIS</t>
  </si>
  <si>
    <t xml:space="preserve">TOTAL DO ANO</t>
  </si>
  <si>
    <t xml:space="preserve">G3 SOLAR  |  CONTAS A PAGAR — LANÇAMENTO DE TÍTULOS</t>
  </si>
  <si>
    <t xml:space="preserve">Como usar: preencha só as colunas em azul claro, um título por linha. Colunas cinza são automáticas. Na baixa, informe Data de pagamento e Valor pago: a situação vira PAGO sozinha. CONTA RECORRENTE: lance o título do mês e escolha a Recorrência (Mensal, Trimestral, Semestral, Anual) — a Projeção repete o valor nos meses seguintes sozinha. No mês seguinte, lance o novo título com o MESMO texto no Histórico. Para encerrar a recorrência, preencha 'Recorrente até' (última coluna).</t>
  </si>
  <si>
    <t xml:space="preserve">Nº LANÇ.</t>
  </si>
  <si>
    <t xml:space="preserve">HISTÓRICO</t>
  </si>
  <si>
    <t xml:space="preserve">FORNECEDOR / CREDOR</t>
  </si>
  <si>
    <t xml:space="preserve">TIPO DE DESPESA</t>
  </si>
  <si>
    <t xml:space="preserve">RECORRÊNCIA</t>
  </si>
  <si>
    <t xml:space="preserve">PARCELA (nº/total)</t>
  </si>
  <si>
    <t xml:space="preserve">COMPETÊNCIA</t>
  </si>
  <si>
    <t xml:space="preserve">DATA DE VENCIMENTO</t>
  </si>
  <si>
    <t xml:space="preserve">VALOR ORIGINAL (R$)</t>
  </si>
  <si>
    <t xml:space="preserve">DATA DE PAGAMENTO</t>
  </si>
  <si>
    <t xml:space="preserve">VALOR PAGO (R$)</t>
  </si>
  <si>
    <t xml:space="preserve">ACRÉSCIMOS (+) / DESCONTOS (-) (R$)</t>
  </si>
  <si>
    <t xml:space="preserve">SITUAÇÃO</t>
  </si>
  <si>
    <t xml:space="preserve">DIAS A VENCER / EM ATRASO (-)</t>
  </si>
  <si>
    <t xml:space="preserve">FORMA DE PAGAMENTO</t>
  </si>
  <si>
    <t xml:space="preserve">CONTA BANCÁRIA / ORIGEM</t>
  </si>
  <si>
    <t xml:space="preserve">Nº DOCUMENTO (NF / Boleto)</t>
  </si>
  <si>
    <t xml:space="preserve">COMPROVANTE (link)</t>
  </si>
  <si>
    <t xml:space="preserve">OBSERVAÇÕES</t>
  </si>
  <si>
    <t xml:space="preserve">RECORRENTE ATÉ (mês/ano, opcional)</t>
  </si>
  <si>
    <t xml:space="preserve">aux: início série</t>
  </si>
  <si>
    <t xml:space="preserve">aux: fim série</t>
  </si>
  <si>
    <t xml:space="preserve">aux: intervalo</t>
  </si>
  <si>
    <t xml:space="preserve">Aluguel da sala comercial</t>
  </si>
  <si>
    <t xml:space="preserve">Despesas Administrativas</t>
  </si>
  <si>
    <t xml:space="preserve">Fixa</t>
  </si>
  <si>
    <t xml:space="preserve">Mensal</t>
  </si>
  <si>
    <t xml:space="preserve">G3 SOLAR  |  PROJEÇÃO DE GASTOS</t>
  </si>
  <si>
    <t xml:space="preserve">Mês a mês (24 meses) e por período  —  títulos já lançados + recorrências projetadas a partir do último título de cada conta</t>
  </si>
  <si>
    <t xml:space="preserve">INÍCIO DA PROJEÇÃO — ANO  ▸</t>
  </si>
  <si>
    <t xml:space="preserve">Células amarelas são editáveis</t>
  </si>
  <si>
    <t xml:space="preserve">PERÍODO DE ANÁLISE — DE  ▸</t>
  </si>
  <si>
    <t xml:space="preserve">ATÉ  ▸</t>
  </si>
  <si>
    <t xml:space="preserve">O período precisa estar dentro dos 24 meses</t>
  </si>
  <si>
    <t xml:space="preserve">TOTAL NO PERÍODO</t>
  </si>
  <si>
    <t xml:space="preserve">MÉDIA MENSAL NO PERÍODO</t>
  </si>
  <si>
    <t xml:space="preserve">MAIOR MÊS NO PERÍODO</t>
  </si>
  <si>
    <t xml:space="preserve">PRÓXIMOS 12 MESES</t>
  </si>
  <si>
    <t xml:space="preserve">PRÓXIMOS 24 MESES</t>
  </si>
  <si>
    <t xml:space="preserve">PROJEÇÃO MÊS A MÊS</t>
  </si>
  <si>
    <t xml:space="preserve">TÍTULOS JÁ LANÇADOS</t>
  </si>
  <si>
    <t xml:space="preserve">RECORRÊNCIAS PROJETADAS</t>
  </si>
  <si>
    <t xml:space="preserve">TOTAL PROJETADO</t>
  </si>
  <si>
    <t xml:space="preserve">ACUMULADO</t>
  </si>
  <si>
    <t xml:space="preserve">NO PERÍODO?</t>
  </si>
  <si>
    <t xml:space="preserve">TOTAL 24 MESES</t>
  </si>
  <si>
    <t xml:space="preserve">PROJEÇÃO POR PLANO DE CONTAS</t>
  </si>
  <si>
    <t xml:space="preserve">NO PERÍODO</t>
  </si>
  <si>
    <t xml:space="preserve">Sem classificação</t>
  </si>
  <si>
    <t xml:space="preserve">CADASTROS — listas que alimentam os menus da aba Lançamentos</t>
  </si>
  <si>
    <t xml:space="preserve">Edite as células azuis. Plano de contas aceita até 15 itens; o Painel acompanha automaticamente. Conta/Origem: informe os bancos reais e troque 'Sócio 1/2' pelos nomes.</t>
  </si>
  <si>
    <t xml:space="preserve">Avulsa</t>
  </si>
  <si>
    <t xml:space="preserve">PIX</t>
  </si>
  <si>
    <t xml:space="preserve">Conta PJ G3 Solar</t>
  </si>
  <si>
    <t xml:space="preserve">Despesas com Pessoal</t>
  </si>
  <si>
    <t xml:space="preserve">Variável</t>
  </si>
  <si>
    <t xml:space="preserve">Boleto</t>
  </si>
  <si>
    <t xml:space="preserve">Adiantamento Sócio 1</t>
  </si>
  <si>
    <t xml:space="preserve">Tributos e Taxas</t>
  </si>
  <si>
    <t xml:space="preserve">Trimestral</t>
  </si>
  <si>
    <t xml:space="preserve">TED / Transferência</t>
  </si>
  <si>
    <t xml:space="preserve">Adiantamento Sócio 2</t>
  </si>
  <si>
    <t xml:space="preserve">Custos Operacionais - O&amp;M Usinas</t>
  </si>
  <si>
    <t xml:space="preserve">Semestral</t>
  </si>
  <si>
    <t xml:space="preserve">Cartão de Crédito</t>
  </si>
  <si>
    <t xml:space="preserve">Comissões e Repasses</t>
  </si>
  <si>
    <t xml:space="preserve">Anual</t>
  </si>
  <si>
    <t xml:space="preserve">Débito Automático</t>
  </si>
  <si>
    <t xml:space="preserve">Despesas Comerciais e Marketing</t>
  </si>
  <si>
    <t xml:space="preserve">Parcelada</t>
  </si>
  <si>
    <t xml:space="preserve">Dinheiro</t>
  </si>
  <si>
    <t xml:space="preserve">Tecnologia e Software</t>
  </si>
  <si>
    <t xml:space="preserve">Serviços de Terceiros</t>
  </si>
  <si>
    <t xml:space="preserve">Despesas Financeiras</t>
  </si>
  <si>
    <t xml:space="preserve">Veículos e Deslocamento</t>
  </si>
  <si>
    <t xml:space="preserve">Honorários Contábeis e Jurídicos</t>
  </si>
  <si>
    <t xml:space="preserve">Outras Despesas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</si>
</sst>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/yyyy"/>
    <numFmt numFmtId="166" formatCode="&quot;R$ &quot;#,##0.00;[RED]&quot;-R$ &quot;#,##0.00;\-"/>
    <numFmt numFmtId="167" formatCode="#,##0"/>
    <numFmt numFmtId="168" formatCode="General"/>
    <numFmt numFmtId="169" formatCode="0.0%;\-0.0%;\-"/>
    <numFmt numFmtId="170" formatCode="mmm/yyyy"/>
    <numFmt numFmtId="171" formatCode="mm/yyyy"/>
    <numFmt numFmtId="172" formatCode="dd/mm/yyyy"/>
    <numFmt numFmtId="173" formatCode="0;[RED]\-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5A623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B1F3A"/>
      <name val="Arial"/>
      <family val="0"/>
      <charset val="1"/>
    </font>
    <font>
      <b val="true"/>
      <sz val="14"/>
      <color rgb="FF1B7A3A"/>
      <name val="Arial"/>
      <family val="0"/>
      <charset val="1"/>
    </font>
    <font>
      <b val="true"/>
      <sz val="14"/>
      <color rgb="FF1F3F73"/>
      <name val="Arial"/>
      <family val="0"/>
      <charset val="1"/>
    </font>
    <font>
      <b val="true"/>
      <sz val="14"/>
      <color rgb="FFB3261E"/>
      <name val="Arial"/>
      <family val="0"/>
      <charset val="1"/>
    </font>
    <font>
      <b val="true"/>
      <sz val="14"/>
      <color rgb="FF8A5A00"/>
      <name val="Arial"/>
      <family val="0"/>
      <charset val="1"/>
    </font>
    <font>
      <b val="true"/>
      <sz val="14"/>
      <color rgb="FF5B2C83"/>
      <name val="Arial"/>
      <family val="0"/>
      <charset val="1"/>
    </font>
    <font>
      <b val="true"/>
      <sz val="8"/>
      <color rgb="FF888888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008000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0B1F3A"/>
      <name val="Arial"/>
      <family val="0"/>
      <charset val="1"/>
    </font>
    <font>
      <b val="true"/>
      <sz val="13"/>
      <color rgb="FF1B7A3A"/>
      <name val="Arial"/>
      <family val="0"/>
      <charset val="1"/>
    </font>
    <font>
      <b val="true"/>
      <sz val="13"/>
      <color rgb="FF1F3F73"/>
      <name val="Arial"/>
      <family val="0"/>
      <charset val="1"/>
    </font>
    <font>
      <b val="true"/>
      <sz val="13"/>
      <color rgb="FFB3261E"/>
      <name val="Arial"/>
      <family val="0"/>
      <charset val="1"/>
    </font>
    <font>
      <b val="true"/>
      <sz val="13"/>
      <color rgb="FF8A5A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99999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1B7A3A"/>
        <bgColor rgb="FF008000"/>
      </patternFill>
    </fill>
    <fill>
      <patternFill patternType="solid">
        <fgColor rgb="FF1F3F73"/>
        <bgColor rgb="FF3949AB"/>
      </patternFill>
    </fill>
    <fill>
      <patternFill patternType="solid">
        <fgColor rgb="FFB3261E"/>
        <bgColor rgb="FFC2185B"/>
      </patternFill>
    </fill>
    <fill>
      <patternFill patternType="solid">
        <fgColor rgb="FF8A5A00"/>
        <bgColor rgb="FF5D4037"/>
      </patternFill>
    </fill>
    <fill>
      <patternFill patternType="solid">
        <fgColor rgb="FF5B2C83"/>
        <bgColor rgb="FF5D4037"/>
      </patternFill>
    </fill>
    <fill>
      <patternFill patternType="solid">
        <fgColor rgb="FFF2F4F7"/>
        <bgColor rgb="FFEAF2FB"/>
      </patternFill>
    </fill>
    <fill>
      <patternFill patternType="solid">
        <fgColor rgb="FFD9DEE5"/>
        <bgColor rgb="FFD9D9D9"/>
      </patternFill>
    </fill>
    <fill>
      <patternFill patternType="solid">
        <fgColor rgb="FF6C757D"/>
        <bgColor rgb="FF666666"/>
      </patternFill>
    </fill>
    <fill>
      <patternFill patternType="solid">
        <fgColor rgb="FFEAF2FB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1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1F3A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7F5"/>
          <bgColor rgb="FF000000"/>
        </patternFill>
      </fill>
    </dxf>
    <dxf>
      <fill>
        <patternFill patternType="solid">
          <fgColor rgb="FF1F3F73"/>
          <bgColor rgb="FF000000"/>
        </patternFill>
      </fill>
    </dxf>
    <dxf>
      <font>
        <name val="Arial"/>
        <charset val="1"/>
        <family val="0"/>
        <b val="1"/>
        <color rgb="FF1B7A3A"/>
      </font>
      <fill>
        <patternFill>
          <bgColor rgb="FFD7F2DF"/>
        </patternFill>
      </fill>
    </dxf>
    <dxf>
      <font>
        <name val="Arial"/>
        <charset val="1"/>
        <family val="0"/>
        <b val="1"/>
        <color rgb="FFB3261E"/>
      </font>
      <fill>
        <patternFill>
          <bgColor rgb="FFFBD9D9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E9B8"/>
        </patternFill>
      </fill>
    </dxf>
    <dxf>
      <font>
        <name val="Arial"/>
        <charset val="1"/>
        <family val="0"/>
        <b val="1"/>
        <color rgb="FF1F3F73"/>
      </font>
      <fill>
        <patternFill>
          <bgColor rgb="FFDDE7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97B"/>
      <rgbColor rgb="FFD9DEE5"/>
      <rgbColor rgb="FF878787"/>
      <rgbColor rgb="FF888888"/>
      <rgbColor rgb="FFC2185B"/>
      <rgbColor rgb="FFF2F4F7"/>
      <rgbColor rgb="FFEAF2FB"/>
      <rgbColor rgb="FF5B2C83"/>
      <rgbColor rgb="FFE76F51"/>
      <rgbColor rgb="FF457B9D"/>
      <rgbColor rgb="FFD9D9D9"/>
      <rgbColor rgb="FF000080"/>
      <rgbColor rgb="FFFF00FF"/>
      <rgbColor rgb="FFFFFF00"/>
      <rgbColor rgb="FF00FFFF"/>
      <rgbColor rgb="FF800080"/>
      <rgbColor rgb="FF800000"/>
      <rgbColor rgb="FF1B7A3A"/>
      <rgbColor rgb="FF0000FF"/>
      <rgbColor rgb="FF00CCFF"/>
      <rgbColor rgb="FFDDE7F5"/>
      <rgbColor rgb="FFD7F2DF"/>
      <rgbColor rgb="FFFFE9B8"/>
      <rgbColor rgb="FF99CCFF"/>
      <rgbColor rgb="FFFF99CC"/>
      <rgbColor rgb="FFCC99FF"/>
      <rgbColor rgb="FFFBD9D9"/>
      <rgbColor rgb="FF4F81BD"/>
      <rgbColor rgb="FF33CCCC"/>
      <rgbColor rgb="FF7CB342"/>
      <rgbColor rgb="FFFFCC00"/>
      <rgbColor rgb="FFF5A623"/>
      <rgbColor rgb="FFFF6600"/>
      <rgbColor rgb="FF6C757D"/>
      <rgbColor rgb="FF999999"/>
      <rgbColor rgb="FF1F3F73"/>
      <rgbColor rgb="FF2A9D8F"/>
      <rgbColor rgb="FF0B1F3A"/>
      <rgbColor rgb="FF5D4037"/>
      <rgbColor rgb="FFB3261E"/>
      <rgbColor rgb="FF666666"/>
      <rgbColor rgb="FF3949AB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Previsto x Realizado — evolução no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Painel!C30</c:f>
              <c:strCache>
                <c:ptCount val="1"/>
                <c:pt idx="0">
                  <c:v>PREVISTO</c:v>
                </c:pt>
              </c:strCache>
            </c:strRef>
          </c:tx>
          <c:spPr>
            <a:solidFill>
              <a:srgbClr val="0b1f3a"/>
            </a:solidFill>
            <a:ln w="28080">
              <a:solidFill>
                <a:srgbClr val="0b1f3a"/>
              </a:solidFill>
              <a:round/>
            </a:ln>
          </c:spPr>
          <c:marker>
            <c:symbol val="circle"/>
            <c:size val="6"/>
            <c:spPr>
              <a:solidFill>
                <a:srgbClr val="0b1f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Painel!$B$31:$B$42</c:f>
              <c:strCache>
                <c:ptCount val="12"/>
                <c:pt idx="0">
                  <c:v>Jan/2026</c:v>
                </c:pt>
                <c:pt idx="1">
                  <c:v>Feb/2026</c:v>
                </c:pt>
                <c:pt idx="2">
                  <c:v>Mar/2026</c:v>
                </c:pt>
                <c:pt idx="3">
                  <c:v>Apr/2026</c:v>
                </c:pt>
                <c:pt idx="4">
                  <c:v>May/2026</c:v>
                </c:pt>
                <c:pt idx="5">
                  <c:v>Jun/2026</c:v>
                </c:pt>
                <c:pt idx="6">
                  <c:v>Jul/2026</c:v>
                </c:pt>
                <c:pt idx="7">
                  <c:v>Aug/2026</c:v>
                </c:pt>
                <c:pt idx="8">
                  <c:v>Sep/2026</c:v>
                </c:pt>
                <c:pt idx="9">
                  <c:v>Oct/2026</c:v>
                </c:pt>
                <c:pt idx="10">
                  <c:v>Nov/2026</c:v>
                </c:pt>
                <c:pt idx="11">
                  <c:v>Dec/2026</c:v>
                </c:pt>
              </c:strCache>
            </c:strRef>
          </c:cat>
          <c:val>
            <c:numRef>
              <c:f>Painel!$C$31:$C$42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4319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Painel!D30</c:f>
              <c:strCache>
                <c:ptCount val="1"/>
                <c:pt idx="0">
                  <c:v>REALIZADO (PAGO)</c:v>
                </c:pt>
              </c:strCache>
            </c:strRef>
          </c:tx>
          <c:spPr>
            <a:solidFill>
              <a:srgbClr val="f5a623"/>
            </a:solidFill>
            <a:ln w="28080">
              <a:solidFill>
                <a:srgbClr val="f5a623"/>
              </a:solidFill>
              <a:round/>
            </a:ln>
          </c:spPr>
          <c:marker>
            <c:symbol val="circle"/>
            <c:size val="6"/>
            <c:spPr>
              <a:solidFill>
                <a:srgbClr val="f5a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Painel!$B$31:$B$42</c:f>
              <c:strCache>
                <c:ptCount val="12"/>
                <c:pt idx="0">
                  <c:v>Jan/2026</c:v>
                </c:pt>
                <c:pt idx="1">
                  <c:v>Feb/2026</c:v>
                </c:pt>
                <c:pt idx="2">
                  <c:v>Mar/2026</c:v>
                </c:pt>
                <c:pt idx="3">
                  <c:v>Apr/2026</c:v>
                </c:pt>
                <c:pt idx="4">
                  <c:v>May/2026</c:v>
                </c:pt>
                <c:pt idx="5">
                  <c:v>Jun/2026</c:v>
                </c:pt>
                <c:pt idx="6">
                  <c:v>Jul/2026</c:v>
                </c:pt>
                <c:pt idx="7">
                  <c:v>Aug/2026</c:v>
                </c:pt>
                <c:pt idx="8">
                  <c:v>Sep/2026</c:v>
                </c:pt>
                <c:pt idx="9">
                  <c:v>Oct/2026</c:v>
                </c:pt>
                <c:pt idx="10">
                  <c:v>Nov/2026</c:v>
                </c:pt>
                <c:pt idx="11">
                  <c:v>Dec/2026</c:v>
                </c:pt>
              </c:strCache>
            </c:strRef>
          </c:cat>
          <c:val>
            <c:numRef>
              <c:f>Painel!$D$31:$D$42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585273"/>
        <c:axId val="70947474"/>
      </c:lineChart>
      <c:catAx>
        <c:axId val="4058527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7474"/>
        <c:crosses val="autoZero"/>
        <c:auto val="1"/>
        <c:lblAlgn val="ctr"/>
        <c:lblOffset val="100"/>
        <c:noMultiLvlLbl val="0"/>
      </c:catAx>
      <c:valAx>
        <c:axId val="70947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852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das despesas por plano de contas —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Painel!C11</c:f>
              <c:strCache>
                <c:ptCount val="1"/>
                <c:pt idx="0">
                  <c:v>PREVISTO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b1f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b7a3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3261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b2c8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e76f51"/>
              </a:solidFill>
              <a:ln w="0">
                <a:noFill/>
              </a:ln>
            </c:spPr>
          </c:dPt>
          <c:dPt>
            <c:idx val="7"/>
            <c:spPr>
              <a:solidFill>
                <a:srgbClr val="457b9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8a5a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6c757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2185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97b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7cb342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5d4037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3949a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Painel!$B$12:$B$26</c:f>
              <c:strCache>
                <c:ptCount val="15"/>
                <c:pt idx="0">
                  <c:v>Despesas Administrativas</c:v>
                </c:pt>
                <c:pt idx="1">
                  <c:v>Despesas com Pessoal</c:v>
                </c:pt>
                <c:pt idx="2">
                  <c:v>Tributos e Taxas</c:v>
                </c:pt>
                <c:pt idx="3">
                  <c:v>Custos Operacionais - O&amp;M Usinas</c:v>
                </c:pt>
                <c:pt idx="4">
                  <c:v>Comissões e Repasses</c:v>
                </c:pt>
                <c:pt idx="5">
                  <c:v>Despesas Comerciais e Marketing</c:v>
                </c:pt>
                <c:pt idx="6">
                  <c:v>Tecnologia e Software</c:v>
                </c:pt>
                <c:pt idx="7">
                  <c:v>Serviços de Terceiros</c:v>
                </c:pt>
                <c:pt idx="8">
                  <c:v>Despesas Financeiras</c:v>
                </c:pt>
                <c:pt idx="9">
                  <c:v>Veículos e Deslocamento</c:v>
                </c:pt>
                <c:pt idx="10">
                  <c:v>Honorários Contábeis e Jurídicos</c:v>
                </c:pt>
                <c:pt idx="11">
                  <c:v>Outras Despesas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Painel!$C$12:$C$26</c:f>
              <c:numCache>
                <c:formatCode>"R$ "#,##0.00;[RED]"-R$ "#,##0.00;\-</c:formatCode>
                <c:ptCount val="15"/>
                <c:pt idx="0">
                  <c:v>4319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Situação dos títulos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Dashboard!P10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7a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3f73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3261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Dashboard!$O$11:$O$13</c:f>
              <c:strCache>
                <c:ptCount val="3"/>
                <c:pt idx="0">
                  <c:v>Pago</c:v>
                </c:pt>
                <c:pt idx="1">
                  <c:v>A vencer</c:v>
                </c:pt>
                <c:pt idx="2">
                  <c:v>Vencido</c:v>
                </c:pt>
              </c:strCache>
            </c:strRef>
          </c:cat>
          <c:val>
            <c:numRef>
              <c:f>Dashboard!$P$11:$P$13</c:f>
              <c:numCache>
                <c:formatCode>"R$ "#,##0.00;[RED]"-R$ "#,##0.00;\-</c:formatCode>
                <c:ptCount val="3"/>
                <c:pt idx="0">
                  <c:v>0</c:v>
                </c:pt>
                <c:pt idx="1">
                  <c:v>4319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Fixas x Variáveis —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Dashboard!P15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b1f3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5a62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Dashboard!$O$16:$O$17</c:f>
              <c:strCache>
                <c:ptCount val="2"/>
                <c:pt idx="0">
                  <c:v>Fixas</c:v>
                </c:pt>
                <c:pt idx="1">
                  <c:v>Variáveis</c:v>
                </c:pt>
              </c:strCache>
            </c:strRef>
          </c:cat>
          <c:val>
            <c:numRef>
              <c:f>Dashboard!$P$16:$P$17</c:f>
              <c:numCache>
                <c:formatCode>"R$ "#,##0.00;[RED]"-R$ "#,##0.00;\-</c:formatCode>
                <c:ptCount val="2"/>
                <c:pt idx="0">
                  <c:v>4319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Lançado x Recorrência projetada — próx. 12 meses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Projeção!C12</c:f>
              <c:strCache>
                <c:ptCount val="1"/>
                <c:pt idx="0">
                  <c:v>TÍTULOS JÁ LANÇADOS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Projeção!$B$13:$B$24</c:f>
              <c:strCache>
                <c:ptCount val="12"/>
                <c:pt idx="0">
                  <c:v>Oct/2026</c:v>
                </c:pt>
                <c:pt idx="1">
                  <c:v>Nov/2026</c:v>
                </c:pt>
                <c:pt idx="2">
                  <c:v>Dec/2026</c:v>
                </c:pt>
                <c:pt idx="3">
                  <c:v>Jan/2027</c:v>
                </c:pt>
                <c:pt idx="4">
                  <c:v>Feb/2027</c:v>
                </c:pt>
                <c:pt idx="5">
                  <c:v>Mar/2027</c:v>
                </c:pt>
                <c:pt idx="6">
                  <c:v>Apr/2027</c:v>
                </c:pt>
                <c:pt idx="7">
                  <c:v>May/2027</c:v>
                </c:pt>
                <c:pt idx="8">
                  <c:v>Jun/2027</c:v>
                </c:pt>
                <c:pt idx="9">
                  <c:v>Jul/2027</c:v>
                </c:pt>
                <c:pt idx="10">
                  <c:v>Aug/2027</c:v>
                </c:pt>
                <c:pt idx="11">
                  <c:v>Sep/2027</c:v>
                </c:pt>
              </c:strCache>
            </c:strRef>
          </c:cat>
          <c:val>
            <c:numRef>
              <c:f>Projeção!$C$13:$C$24</c:f>
              <c:numCache>
                <c:formatCode>"R$ "#,##0.00;[RED]"-R$ "#,##0.00;\-</c:formatCode>
                <c:ptCount val="12"/>
                <c:pt idx="0">
                  <c:v>4319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Projeção!D12</c:f>
              <c:strCache>
                <c:ptCount val="1"/>
                <c:pt idx="0">
                  <c:v>RECORRÊNCIAS PROJETADAS</c:v>
                </c:pt>
              </c:strCache>
            </c:strRef>
          </c:tx>
          <c:spPr>
            <a:solidFill>
              <a:srgbClr val="f5a623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Projeção!$B$13:$B$24</c:f>
              <c:strCache>
                <c:ptCount val="12"/>
                <c:pt idx="0">
                  <c:v>Oct/2026</c:v>
                </c:pt>
                <c:pt idx="1">
                  <c:v>Nov/2026</c:v>
                </c:pt>
                <c:pt idx="2">
                  <c:v>Dec/2026</c:v>
                </c:pt>
                <c:pt idx="3">
                  <c:v>Jan/2027</c:v>
                </c:pt>
                <c:pt idx="4">
                  <c:v>Feb/2027</c:v>
                </c:pt>
                <c:pt idx="5">
                  <c:v>Mar/2027</c:v>
                </c:pt>
                <c:pt idx="6">
                  <c:v>Apr/2027</c:v>
                </c:pt>
                <c:pt idx="7">
                  <c:v>May/2027</c:v>
                </c:pt>
                <c:pt idx="8">
                  <c:v>Jun/2027</c:v>
                </c:pt>
                <c:pt idx="9">
                  <c:v>Jul/2027</c:v>
                </c:pt>
                <c:pt idx="10">
                  <c:v>Aug/2027</c:v>
                </c:pt>
                <c:pt idx="11">
                  <c:v>Sep/2027</c:v>
                </c:pt>
              </c:strCache>
            </c:strRef>
          </c:cat>
          <c:val>
            <c:numRef>
              <c:f>Projeção!$D$13:$D$24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4319</c:v>
                </c:pt>
                <c:pt idx="2">
                  <c:v>4319</c:v>
                </c:pt>
                <c:pt idx="3">
                  <c:v>4319</c:v>
                </c:pt>
                <c:pt idx="4">
                  <c:v>4319</c:v>
                </c:pt>
                <c:pt idx="5">
                  <c:v>4319</c:v>
                </c:pt>
                <c:pt idx="6">
                  <c:v>4319</c:v>
                </c:pt>
                <c:pt idx="7">
                  <c:v>4319</c:v>
                </c:pt>
                <c:pt idx="8">
                  <c:v>4319</c:v>
                </c:pt>
                <c:pt idx="9">
                  <c:v>4319</c:v>
                </c:pt>
                <c:pt idx="10">
                  <c:v>4319</c:v>
                </c:pt>
                <c:pt idx="11">
                  <c:v>4319</c:v>
                </c:pt>
              </c:numCache>
            </c:numRef>
          </c:val>
        </c:ser>
        <c:axId val="70794863"/>
        <c:axId val="99354613"/>
      </c:areaChart>
      <c:catAx>
        <c:axId val="70794863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54613"/>
        <c:crosses val="autoZero"/>
        <c:auto val="1"/>
        <c:lblAlgn val="ctr"/>
        <c:lblOffset val="100"/>
        <c:noMultiLvlLbl val="0"/>
      </c:catAx>
      <c:valAx>
        <c:axId val="99354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948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Projeção de gastos — 24 meses (mensal e 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Projeção!E12</c:f>
              <c:strCache>
                <c:ptCount val="1"/>
                <c:pt idx="0">
                  <c:v>TOTAL PROJETADO</c:v>
                </c:pt>
              </c:strCache>
            </c:strRef>
          </c:tx>
          <c:spPr>
            <a:solidFill>
              <a:srgbClr val="5b2c83"/>
            </a:solidFill>
            <a:ln w="28080">
              <a:solidFill>
                <a:srgbClr val="5b2c83"/>
              </a:solidFill>
              <a:round/>
            </a:ln>
          </c:spPr>
          <c:marker>
            <c:symbol val="circle"/>
            <c:size val="6"/>
            <c:spPr>
              <a:solidFill>
                <a:srgbClr val="5b2c8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Projeção!$B$13:$B$36</c:f>
              <c:strCache>
                <c:ptCount val="24"/>
                <c:pt idx="0">
                  <c:v>Oct/2026</c:v>
                </c:pt>
                <c:pt idx="1">
                  <c:v>Nov/2026</c:v>
                </c:pt>
                <c:pt idx="2">
                  <c:v>Dec/2026</c:v>
                </c:pt>
                <c:pt idx="3">
                  <c:v>Jan/2027</c:v>
                </c:pt>
                <c:pt idx="4">
                  <c:v>Feb/2027</c:v>
                </c:pt>
                <c:pt idx="5">
                  <c:v>Mar/2027</c:v>
                </c:pt>
                <c:pt idx="6">
                  <c:v>Apr/2027</c:v>
                </c:pt>
                <c:pt idx="7">
                  <c:v>May/2027</c:v>
                </c:pt>
                <c:pt idx="8">
                  <c:v>Jun/2027</c:v>
                </c:pt>
                <c:pt idx="9">
                  <c:v>Jul/2027</c:v>
                </c:pt>
                <c:pt idx="10">
                  <c:v>Aug/2027</c:v>
                </c:pt>
                <c:pt idx="11">
                  <c:v>Sep/2027</c:v>
                </c:pt>
                <c:pt idx="12">
                  <c:v>Oct/2027</c:v>
                </c:pt>
                <c:pt idx="13">
                  <c:v>Nov/2027</c:v>
                </c:pt>
                <c:pt idx="14">
                  <c:v>Dec/2027</c:v>
                </c:pt>
                <c:pt idx="15">
                  <c:v>Jan/2028</c:v>
                </c:pt>
                <c:pt idx="16">
                  <c:v>Feb/2028</c:v>
                </c:pt>
                <c:pt idx="17">
                  <c:v>Mar/2028</c:v>
                </c:pt>
                <c:pt idx="18">
                  <c:v>Apr/2028</c:v>
                </c:pt>
                <c:pt idx="19">
                  <c:v>May/2028</c:v>
                </c:pt>
                <c:pt idx="20">
                  <c:v>Jun/2028</c:v>
                </c:pt>
                <c:pt idx="21">
                  <c:v>Jul/2028</c:v>
                </c:pt>
                <c:pt idx="22">
                  <c:v>Aug/2028</c:v>
                </c:pt>
                <c:pt idx="23">
                  <c:v>Sep/2028</c:v>
                </c:pt>
              </c:strCache>
            </c:strRef>
          </c:cat>
          <c:val>
            <c:numRef>
              <c:f>Projeção!$E$13:$E$36</c:f>
              <c:numCache>
                <c:formatCode>"R$ "#,##0.00;[RED]"-R$ "#,##0.00;\-</c:formatCode>
                <c:ptCount val="24"/>
                <c:pt idx="0">
                  <c:v>4319</c:v>
                </c:pt>
                <c:pt idx="1">
                  <c:v>4319</c:v>
                </c:pt>
                <c:pt idx="2">
                  <c:v>4319</c:v>
                </c:pt>
                <c:pt idx="3">
                  <c:v>4319</c:v>
                </c:pt>
                <c:pt idx="4">
                  <c:v>4319</c:v>
                </c:pt>
                <c:pt idx="5">
                  <c:v>4319</c:v>
                </c:pt>
                <c:pt idx="6">
                  <c:v>4319</c:v>
                </c:pt>
                <c:pt idx="7">
                  <c:v>4319</c:v>
                </c:pt>
                <c:pt idx="8">
                  <c:v>4319</c:v>
                </c:pt>
                <c:pt idx="9">
                  <c:v>4319</c:v>
                </c:pt>
                <c:pt idx="10">
                  <c:v>4319</c:v>
                </c:pt>
                <c:pt idx="11">
                  <c:v>4319</c:v>
                </c:pt>
                <c:pt idx="12">
                  <c:v>4319</c:v>
                </c:pt>
                <c:pt idx="13">
                  <c:v>4319</c:v>
                </c:pt>
                <c:pt idx="14">
                  <c:v>4319</c:v>
                </c:pt>
                <c:pt idx="15">
                  <c:v>4319</c:v>
                </c:pt>
                <c:pt idx="16">
                  <c:v>4319</c:v>
                </c:pt>
                <c:pt idx="17">
                  <c:v>4319</c:v>
                </c:pt>
                <c:pt idx="18">
                  <c:v>4319</c:v>
                </c:pt>
                <c:pt idx="19">
                  <c:v>4319</c:v>
                </c:pt>
                <c:pt idx="20">
                  <c:v>4319</c:v>
                </c:pt>
                <c:pt idx="21">
                  <c:v>4319</c:v>
                </c:pt>
                <c:pt idx="22">
                  <c:v>4319</c:v>
                </c:pt>
                <c:pt idx="23">
                  <c:v>4319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Projeção!F12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f5a623"/>
            </a:solidFill>
            <a:ln w="21960">
              <a:solidFill>
                <a:srgbClr val="f5a623"/>
              </a:solidFill>
              <a:round/>
            </a:ln>
          </c:spPr>
          <c:marker>
            <c:symbol val="circle"/>
            <c:size val="6"/>
            <c:spPr>
              <a:solidFill>
                <a:srgbClr val="f5a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Projeção!$B$13:$B$36</c:f>
              <c:strCache>
                <c:ptCount val="24"/>
                <c:pt idx="0">
                  <c:v>Oct/2026</c:v>
                </c:pt>
                <c:pt idx="1">
                  <c:v>Nov/2026</c:v>
                </c:pt>
                <c:pt idx="2">
                  <c:v>Dec/2026</c:v>
                </c:pt>
                <c:pt idx="3">
                  <c:v>Jan/2027</c:v>
                </c:pt>
                <c:pt idx="4">
                  <c:v>Feb/2027</c:v>
                </c:pt>
                <c:pt idx="5">
                  <c:v>Mar/2027</c:v>
                </c:pt>
                <c:pt idx="6">
                  <c:v>Apr/2027</c:v>
                </c:pt>
                <c:pt idx="7">
                  <c:v>May/2027</c:v>
                </c:pt>
                <c:pt idx="8">
                  <c:v>Jun/2027</c:v>
                </c:pt>
                <c:pt idx="9">
                  <c:v>Jul/2027</c:v>
                </c:pt>
                <c:pt idx="10">
                  <c:v>Aug/2027</c:v>
                </c:pt>
                <c:pt idx="11">
                  <c:v>Sep/2027</c:v>
                </c:pt>
                <c:pt idx="12">
                  <c:v>Oct/2027</c:v>
                </c:pt>
                <c:pt idx="13">
                  <c:v>Nov/2027</c:v>
                </c:pt>
                <c:pt idx="14">
                  <c:v>Dec/2027</c:v>
                </c:pt>
                <c:pt idx="15">
                  <c:v>Jan/2028</c:v>
                </c:pt>
                <c:pt idx="16">
                  <c:v>Feb/2028</c:v>
                </c:pt>
                <c:pt idx="17">
                  <c:v>Mar/2028</c:v>
                </c:pt>
                <c:pt idx="18">
                  <c:v>Apr/2028</c:v>
                </c:pt>
                <c:pt idx="19">
                  <c:v>May/2028</c:v>
                </c:pt>
                <c:pt idx="20">
                  <c:v>Jun/2028</c:v>
                </c:pt>
                <c:pt idx="21">
                  <c:v>Jul/2028</c:v>
                </c:pt>
                <c:pt idx="22">
                  <c:v>Aug/2028</c:v>
                </c:pt>
                <c:pt idx="23">
                  <c:v>Sep/2028</c:v>
                </c:pt>
              </c:strCache>
            </c:strRef>
          </c:cat>
          <c:val>
            <c:numRef>
              <c:f>Projeção!$F$13:$F$36</c:f>
              <c:numCache>
                <c:formatCode>"R$ "#,##0.00;[RED]"-R$ "#,##0.00;\-</c:formatCode>
                <c:ptCount val="24"/>
                <c:pt idx="0">
                  <c:v>4319</c:v>
                </c:pt>
                <c:pt idx="1">
                  <c:v>8638</c:v>
                </c:pt>
                <c:pt idx="2">
                  <c:v>12957</c:v>
                </c:pt>
                <c:pt idx="3">
                  <c:v>17276</c:v>
                </c:pt>
                <c:pt idx="4">
                  <c:v>21595</c:v>
                </c:pt>
                <c:pt idx="5">
                  <c:v>25914</c:v>
                </c:pt>
                <c:pt idx="6">
                  <c:v>30233</c:v>
                </c:pt>
                <c:pt idx="7">
                  <c:v>34552</c:v>
                </c:pt>
                <c:pt idx="8">
                  <c:v>38871</c:v>
                </c:pt>
                <c:pt idx="9">
                  <c:v>43190</c:v>
                </c:pt>
                <c:pt idx="10">
                  <c:v>47509</c:v>
                </c:pt>
                <c:pt idx="11">
                  <c:v>51828</c:v>
                </c:pt>
                <c:pt idx="12">
                  <c:v>56147</c:v>
                </c:pt>
                <c:pt idx="13">
                  <c:v>60466</c:v>
                </c:pt>
                <c:pt idx="14">
                  <c:v>64785</c:v>
                </c:pt>
                <c:pt idx="15">
                  <c:v>69104</c:v>
                </c:pt>
                <c:pt idx="16">
                  <c:v>73423</c:v>
                </c:pt>
                <c:pt idx="17">
                  <c:v>77742</c:v>
                </c:pt>
                <c:pt idx="18">
                  <c:v>82061</c:v>
                </c:pt>
                <c:pt idx="19">
                  <c:v>86380</c:v>
                </c:pt>
                <c:pt idx="20">
                  <c:v>90699</c:v>
                </c:pt>
                <c:pt idx="21">
                  <c:v>95018</c:v>
                </c:pt>
                <c:pt idx="22">
                  <c:v>99337</c:v>
                </c:pt>
                <c:pt idx="23">
                  <c:v>103656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942226"/>
        <c:axId val="41270444"/>
      </c:lineChart>
      <c:catAx>
        <c:axId val="38942226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70444"/>
        <c:crosses val="autoZero"/>
        <c:auto val="1"/>
        <c:lblAlgn val="ctr"/>
        <c:lblOffset val="100"/>
        <c:noMultiLvlLbl val="0"/>
      </c:catAx>
      <c:valAx>
        <c:axId val="41270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422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6</xdr:col>
      <xdr:colOff>1013400</xdr:colOff>
      <xdr:row>25</xdr:row>
      <xdr:rowOff>11880</xdr:rowOff>
    </xdr:to>
    <xdr:graphicFrame>
      <xdr:nvGraphicFramePr>
        <xdr:cNvPr id="0" name="Chart 1"/>
        <xdr:cNvGraphicFramePr/>
      </xdr:nvGraphicFramePr>
      <xdr:xfrm>
        <a:off x="141120" y="2381400"/>
        <a:ext cx="62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1013400</xdr:colOff>
      <xdr:row>25</xdr:row>
      <xdr:rowOff>11880</xdr:rowOff>
    </xdr:to>
    <xdr:graphicFrame>
      <xdr:nvGraphicFramePr>
        <xdr:cNvPr id="1" name="Chart 2"/>
        <xdr:cNvGraphicFramePr/>
      </xdr:nvGraphicFramePr>
      <xdr:xfrm>
        <a:off x="6484680" y="2381400"/>
        <a:ext cx="62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4</xdr:col>
      <xdr:colOff>968040</xdr:colOff>
      <xdr:row>43</xdr:row>
      <xdr:rowOff>11880</xdr:rowOff>
    </xdr:to>
    <xdr:graphicFrame>
      <xdr:nvGraphicFramePr>
        <xdr:cNvPr id="2" name="Chart 3"/>
        <xdr:cNvGraphicFramePr/>
      </xdr:nvGraphicFramePr>
      <xdr:xfrm>
        <a:off x="141120" y="5810400"/>
        <a:ext cx="41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8</xdr:col>
      <xdr:colOff>967680</xdr:colOff>
      <xdr:row>43</xdr:row>
      <xdr:rowOff>11880</xdr:rowOff>
    </xdr:to>
    <xdr:graphicFrame>
      <xdr:nvGraphicFramePr>
        <xdr:cNvPr id="3" name="Chart 4"/>
        <xdr:cNvGraphicFramePr/>
      </xdr:nvGraphicFramePr>
      <xdr:xfrm>
        <a:off x="4370040" y="5810400"/>
        <a:ext cx="41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12</xdr:col>
      <xdr:colOff>968040</xdr:colOff>
      <xdr:row>43</xdr:row>
      <xdr:rowOff>11880</xdr:rowOff>
    </xdr:to>
    <xdr:graphicFrame>
      <xdr:nvGraphicFramePr>
        <xdr:cNvPr id="4" name="Chart 5"/>
        <xdr:cNvGraphicFramePr/>
      </xdr:nvGraphicFramePr>
      <xdr:xfrm>
        <a:off x="8599320" y="5810400"/>
        <a:ext cx="41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12</xdr:col>
      <xdr:colOff>969840</xdr:colOff>
      <xdr:row>62</xdr:row>
      <xdr:rowOff>1440</xdr:rowOff>
    </xdr:to>
    <xdr:graphicFrame>
      <xdr:nvGraphicFramePr>
        <xdr:cNvPr id="5" name="Chart 6"/>
        <xdr:cNvGraphicFramePr/>
      </xdr:nvGraphicFramePr>
      <xdr:xfrm>
        <a:off x="141120" y="9239400"/>
        <a:ext cx="12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true"/>
  </sheetPr>
  <dimension ref="B2:P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5"/>
    <col collapsed="false" customWidth="true" hidden="false" outlineLevel="0" max="14" min="14" style="0" width="3"/>
    <col collapsed="false" customWidth="true" hidden="false" outlineLevel="0" max="15" min="15" style="0" width="24"/>
    <col collapsed="false" customWidth="true" hidden="false" outlineLevel="0" max="16" min="16" style="0" width="16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B5" s="3" t="s">
        <v>2</v>
      </c>
      <c r="C5" s="4" t="n">
        <v>2026</v>
      </c>
      <c r="D5" s="3" t="s">
        <v>3</v>
      </c>
      <c r="E5" s="4" t="n">
        <v>10</v>
      </c>
      <c r="F5" s="3" t="s">
        <v>4</v>
      </c>
      <c r="G5" s="5" t="n">
        <f aca="false">DATE($C$5,$E$5,1)</f>
        <v>46296</v>
      </c>
      <c r="H5" s="6" t="s">
        <v>5</v>
      </c>
    </row>
    <row r="7" customFormat="false" ht="24" hidden="false" customHeight="true" outlineLevel="0" collapsed="false">
      <c r="B7" s="7" t="s">
        <v>6</v>
      </c>
      <c r="C7" s="7"/>
      <c r="D7" s="8" t="s">
        <v>7</v>
      </c>
      <c r="E7" s="8"/>
      <c r="F7" s="9" t="s">
        <v>8</v>
      </c>
      <c r="G7" s="9"/>
      <c r="H7" s="10" t="s">
        <v>9</v>
      </c>
      <c r="I7" s="10"/>
      <c r="J7" s="11" t="s">
        <v>10</v>
      </c>
      <c r="K7" s="11"/>
      <c r="L7" s="12" t="s">
        <v>11</v>
      </c>
      <c r="M7" s="12"/>
    </row>
    <row r="8" customFormat="false" ht="39.75" hidden="false" customHeight="true" outlineLevel="0" collapsed="false">
      <c r="B8" s="13" t="n">
        <f aca="false">Painel!C8</f>
        <v>4319</v>
      </c>
      <c r="C8" s="13"/>
      <c r="D8" s="14" t="n">
        <f aca="false">Painel!D8</f>
        <v>0</v>
      </c>
      <c r="E8" s="14"/>
      <c r="F8" s="15" t="n">
        <f aca="false">Painel!E8</f>
        <v>4319</v>
      </c>
      <c r="G8" s="15"/>
      <c r="H8" s="16" t="n">
        <f aca="false">Painel!F8</f>
        <v>0</v>
      </c>
      <c r="I8" s="16"/>
      <c r="J8" s="17" t="n">
        <f aca="false">Painel!G8</f>
        <v>0</v>
      </c>
      <c r="K8" s="17"/>
      <c r="L8" s="18" t="n">
        <f aca="false">Projeção!F9</f>
        <v>51828</v>
      </c>
      <c r="M8" s="18"/>
    </row>
    <row r="9" customFormat="false" ht="15" hidden="false" customHeight="false" outlineLevel="0" collapsed="false">
      <c r="O9" s="19" t="s">
        <v>12</v>
      </c>
    </row>
    <row r="10" customFormat="false" ht="15" hidden="false" customHeight="false" outlineLevel="0" collapsed="false">
      <c r="O10" s="20" t="s">
        <v>13</v>
      </c>
      <c r="P10" s="20" t="s">
        <v>14</v>
      </c>
    </row>
    <row r="11" customFormat="false" ht="15" hidden="false" customHeight="false" outlineLevel="0" collapsed="false">
      <c r="O11" s="20" t="s">
        <v>15</v>
      </c>
      <c r="P11" s="20" t="n">
        <f aca="false">SUMIFS(Lançamentos!$J$5:$J$504,Lançamentos!$N$5:$N$504,"PAGO")</f>
        <v>0</v>
      </c>
    </row>
    <row r="12" customFormat="false" ht="15" hidden="false" customHeight="false" outlineLevel="0" collapsed="false">
      <c r="O12" s="20" t="s">
        <v>16</v>
      </c>
      <c r="P12" s="20" t="n">
        <f aca="false">SUMIFS(Lançamentos!$J$5:$J$504,Lançamentos!$N$5:$N$504,"A VENCER")+SUMIFS(Lançamentos!$J$5:$J$504,Lançamentos!$N$5:$N$504,"VENCE HOJE")</f>
        <v>4319</v>
      </c>
    </row>
    <row r="13" customFormat="false" ht="15" hidden="false" customHeight="false" outlineLevel="0" collapsed="false">
      <c r="O13" s="20" t="s">
        <v>17</v>
      </c>
      <c r="P13" s="20" t="n">
        <f aca="false">SUMIFS(Lançamentos!$J$5:$J$504,Lançamentos!$N$5:$N$504,"VENCIDO")</f>
        <v>0</v>
      </c>
    </row>
    <row r="14" customFormat="false" ht="15" hidden="false" customHeight="false" outlineLevel="0" collapsed="false">
      <c r="O14" s="20"/>
      <c r="P14" s="20"/>
    </row>
    <row r="15" customFormat="false" ht="15" hidden="false" customHeight="false" outlineLevel="0" collapsed="false">
      <c r="O15" s="20" t="s">
        <v>18</v>
      </c>
      <c r="P15" s="20" t="s">
        <v>14</v>
      </c>
    </row>
    <row r="16" customFormat="false" ht="15" hidden="false" customHeight="false" outlineLevel="0" collapsed="false">
      <c r="O16" s="20" t="s">
        <v>19</v>
      </c>
      <c r="P16" s="20" t="n">
        <f aca="false">Painel!F43</f>
        <v>4319</v>
      </c>
    </row>
    <row r="17" customFormat="false" ht="15" hidden="false" customHeight="false" outlineLevel="0" collapsed="false">
      <c r="O17" s="20" t="s">
        <v>20</v>
      </c>
      <c r="P17" s="20" t="n">
        <f aca="false">Painel!G43</f>
        <v>0</v>
      </c>
    </row>
  </sheetData>
  <mergeCells count="14">
    <mergeCell ref="B2:M2"/>
    <mergeCell ref="B3:M3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</mergeCells>
  <dataValidations count="1">
    <dataValidation allowBlank="false" errorStyle="stop" operator="between" showDropDown="false" showErrorMessage="true" showInputMessage="false" sqref="E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8" min="3" style="0" width="20"/>
  </cols>
  <sheetData>
    <row r="2" customFormat="false" ht="33.75" hidden="false" customHeight="true" outlineLevel="0" collapsed="false">
      <c r="B2" s="1" t="s">
        <v>21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22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21" t="n">
        <f aca="false">Dashboard!C5</f>
        <v>2026</v>
      </c>
      <c r="D5" s="3" t="s">
        <v>3</v>
      </c>
      <c r="E5" s="21" t="n">
        <f aca="false">Dashboard!E5</f>
        <v>10</v>
      </c>
      <c r="F5" s="3" t="s">
        <v>23</v>
      </c>
      <c r="G5" s="5" t="n">
        <f aca="false">DATE($C$5,$E$5,1)</f>
        <v>46296</v>
      </c>
      <c r="H5" s="6" t="s">
        <v>24</v>
      </c>
    </row>
    <row r="7" customFormat="false" ht="25.5" hidden="false" customHeight="true" outlineLevel="0" collapsed="false">
      <c r="B7" s="22" t="s">
        <v>25</v>
      </c>
      <c r="C7" s="23" t="s">
        <v>6</v>
      </c>
      <c r="D7" s="24" t="s">
        <v>7</v>
      </c>
      <c r="E7" s="25" t="s">
        <v>8</v>
      </c>
      <c r="F7" s="26" t="s">
        <v>9</v>
      </c>
      <c r="G7" s="27" t="s">
        <v>10</v>
      </c>
      <c r="H7" s="23" t="s">
        <v>26</v>
      </c>
    </row>
    <row r="8" customFormat="false" ht="33.75" hidden="false" customHeight="true" outlineLevel="0" collapsed="false">
      <c r="B8" s="28" t="s">
        <v>27</v>
      </c>
      <c r="C8" s="29" t="n">
        <f aca="false">SUMIFS(Lançamentos!$J$5:$J$504,Lançamentos!$I$5:$I$504,"&gt;="&amp;DATE($C$5,$E$5,1),Lançamentos!$I$5:$I$504,"&lt;"&amp;DATE($C$5,$E$5+1,1))</f>
        <v>4319</v>
      </c>
      <c r="D8" s="30" t="n">
        <f aca="false">SUMIFS(Lançamentos!$L$5:$L$504,Lançamentos!$I$5:$I$504,"&gt;="&amp;DATE($C$5,$E$5,1),Lançamentos!$I$5:$I$504,"&lt;"&amp;DATE($C$5,$E$5+1,1))</f>
        <v>0</v>
      </c>
      <c r="E8" s="31" t="n">
        <f aca="false">SUMIFS(Lançamentos!$J$5:$J$504,Lançamentos!$I$5:$I$504,"&gt;="&amp;DATE($C$5,$E$5,1),Lançamentos!$I$5:$I$504,"&lt;"&amp;DATE($C$5,$E$5+1,1),Lançamentos!$N$5:$N$504,"&lt;&gt;PAGO")</f>
        <v>4319</v>
      </c>
      <c r="F8" s="32" t="n">
        <f aca="false">SUMIFS(Lançamentos!$J$5:$J$504,Lançamentos!$N$5:$N$504,"VENCIDO")</f>
        <v>0</v>
      </c>
      <c r="G8" s="33" t="n">
        <f aca="true">SUMIFS(Lançamentos!$J$5:$J$504,Lançamentos!$I$5:$I$504,"&gt;="&amp;TODAY(),Lançamentos!$I$5:$I$504,"&lt;="&amp;TODAY()+7,Lançamentos!$N$5:$N$504,"&lt;&gt;PAGO")</f>
        <v>0</v>
      </c>
      <c r="H8" s="34" t="n">
        <f aca="false">IF(C8=0,0,1-E8/C8)</f>
        <v>0</v>
      </c>
    </row>
    <row r="10" customFormat="false" ht="15" hidden="false" customHeight="false" outlineLevel="0" collapsed="false">
      <c r="B10" s="22" t="s">
        <v>28</v>
      </c>
    </row>
    <row r="11" customFormat="false" ht="15" hidden="false" customHeight="false" outlineLevel="0" collapsed="false">
      <c r="B11" s="7" t="s">
        <v>29</v>
      </c>
      <c r="C11" s="7" t="s">
        <v>30</v>
      </c>
      <c r="D11" s="7" t="s">
        <v>31</v>
      </c>
      <c r="E11" s="7" t="s">
        <v>32</v>
      </c>
      <c r="F11" s="7" t="s">
        <v>33</v>
      </c>
    </row>
    <row r="12" customFormat="false" ht="15" hidden="false" customHeight="false" outlineLevel="0" collapsed="false">
      <c r="B12" s="35" t="str">
        <f aca="false">IF(Cadastros!A4="","",Cadastros!A4)</f>
        <v>Despesas Administrativas</v>
      </c>
      <c r="C12" s="36" t="n">
        <f aca="false">IF($B12="","",SUMIFS(Lançamentos!$J$5:$J$504,Lançamentos!$D$5:$D$504,$B12,Lançamentos!$I$5:$I$504,"&gt;="&amp;DATE($C$5,$E$5,1),Lançamentos!$I$5:$I$504,"&lt;"&amp;DATE($C$5,$E$5+1,1)))</f>
        <v>4319</v>
      </c>
      <c r="D12" s="36" t="n">
        <f aca="false">IF($B12="","",SUMIFS(Lançamentos!$L$5:$L$504,Lançamentos!$D$5:$D$504,$B12,Lançamentos!$I$5:$I$504,"&gt;="&amp;DATE($C$5,$E$5,1),Lançamentos!$I$5:$I$504,"&lt;"&amp;DATE($C$5,$E$5+1,1)))</f>
        <v>0</v>
      </c>
      <c r="E12" s="36" t="n">
        <f aca="false">IF($B12="","",SUMIFS(Lançamentos!$J$5:$J$504,Lançamentos!$D$5:$D$504,$B12,Lançamentos!$I$5:$I$504,"&gt;="&amp;DATE($C$5,$E$5,1),Lançamentos!$I$5:$I$504,"&lt;"&amp;DATE($C$5,$E$5+1,1),Lançamentos!$N$5:$N$504,"&lt;&gt;PAGO"))</f>
        <v>4319</v>
      </c>
      <c r="F12" s="37" t="n">
        <f aca="false">IF(OR($B12="",$C$27=0),"",C12/$C$27)</f>
        <v>1</v>
      </c>
    </row>
    <row r="13" customFormat="false" ht="15" hidden="false" customHeight="false" outlineLevel="0" collapsed="false">
      <c r="B13" s="38" t="str">
        <f aca="false">IF(Cadastros!A5="","",Cadastros!A5)</f>
        <v>Despesas com Pessoal</v>
      </c>
      <c r="C13" s="39" t="n">
        <f aca="false">IF($B13="","",SUMIFS(Lançamentos!$J$5:$J$504,Lançamentos!$D$5:$D$504,$B13,Lançamentos!$I$5:$I$504,"&gt;="&amp;DATE($C$5,$E$5,1),Lançamentos!$I$5:$I$504,"&lt;"&amp;DATE($C$5,$E$5+1,1)))</f>
        <v>0</v>
      </c>
      <c r="D13" s="39" t="n">
        <f aca="false">IF($B13="","",SUMIFS(Lançamentos!$L$5:$L$504,Lançamentos!$D$5:$D$504,$B13,Lançamentos!$I$5:$I$504,"&gt;="&amp;DATE($C$5,$E$5,1),Lançamentos!$I$5:$I$504,"&lt;"&amp;DATE($C$5,$E$5+1,1)))</f>
        <v>0</v>
      </c>
      <c r="E13" s="39" t="n">
        <f aca="false">IF($B13="","",SUMIFS(Lançamentos!$J$5:$J$504,Lançamentos!$D$5:$D$504,$B13,Lançamentos!$I$5:$I$504,"&gt;="&amp;DATE($C$5,$E$5,1),Lançamentos!$I$5:$I$504,"&lt;"&amp;DATE($C$5,$E$5+1,1),Lançamentos!$N$5:$N$504,"&lt;&gt;PAGO"))</f>
        <v>0</v>
      </c>
      <c r="F13" s="40" t="n">
        <f aca="false">IF(OR($B13="",$C$27=0),"",C13/$C$27)</f>
        <v>0</v>
      </c>
    </row>
    <row r="14" customFormat="false" ht="15" hidden="false" customHeight="false" outlineLevel="0" collapsed="false">
      <c r="B14" s="35" t="str">
        <f aca="false">IF(Cadastros!A6="","",Cadastros!A6)</f>
        <v>Tributos e Taxas</v>
      </c>
      <c r="C14" s="36" t="n">
        <f aca="false">IF($B14="","",SUMIFS(Lançamentos!$J$5:$J$504,Lançamentos!$D$5:$D$504,$B14,Lançamentos!$I$5:$I$504,"&gt;="&amp;DATE($C$5,$E$5,1),Lançamentos!$I$5:$I$504,"&lt;"&amp;DATE($C$5,$E$5+1,1)))</f>
        <v>0</v>
      </c>
      <c r="D14" s="36" t="n">
        <f aca="false">IF($B14="","",SUMIFS(Lançamentos!$L$5:$L$504,Lançamentos!$D$5:$D$504,$B14,Lançamentos!$I$5:$I$504,"&gt;="&amp;DATE($C$5,$E$5,1),Lançamentos!$I$5:$I$504,"&lt;"&amp;DATE($C$5,$E$5+1,1)))</f>
        <v>0</v>
      </c>
      <c r="E14" s="36" t="n">
        <f aca="false">IF($B14="","",SUMIFS(Lançamentos!$J$5:$J$504,Lançamentos!$D$5:$D$504,$B14,Lançamentos!$I$5:$I$504,"&gt;="&amp;DATE($C$5,$E$5,1),Lançamentos!$I$5:$I$504,"&lt;"&amp;DATE($C$5,$E$5+1,1),Lançamentos!$N$5:$N$504,"&lt;&gt;PAGO"))</f>
        <v>0</v>
      </c>
      <c r="F14" s="37" t="n">
        <f aca="false">IF(OR($B14="",$C$27=0),"",C14/$C$27)</f>
        <v>0</v>
      </c>
    </row>
    <row r="15" customFormat="false" ht="15" hidden="false" customHeight="false" outlineLevel="0" collapsed="false">
      <c r="B15" s="38" t="str">
        <f aca="false">IF(Cadastros!A7="","",Cadastros!A7)</f>
        <v>Custos Operacionais - O&amp;M Usinas</v>
      </c>
      <c r="C15" s="39" t="n">
        <f aca="false">IF($B15="","",SUMIFS(Lançamentos!$J$5:$J$504,Lançamentos!$D$5:$D$504,$B15,Lançamentos!$I$5:$I$504,"&gt;="&amp;DATE($C$5,$E$5,1),Lançamentos!$I$5:$I$504,"&lt;"&amp;DATE($C$5,$E$5+1,1)))</f>
        <v>0</v>
      </c>
      <c r="D15" s="39" t="n">
        <f aca="false">IF($B15="","",SUMIFS(Lançamentos!$L$5:$L$504,Lançamentos!$D$5:$D$504,$B15,Lançamentos!$I$5:$I$504,"&gt;="&amp;DATE($C$5,$E$5,1),Lançamentos!$I$5:$I$504,"&lt;"&amp;DATE($C$5,$E$5+1,1)))</f>
        <v>0</v>
      </c>
      <c r="E15" s="39" t="n">
        <f aca="false">IF($B15="","",SUMIFS(Lançamentos!$J$5:$J$504,Lançamentos!$D$5:$D$504,$B15,Lançamentos!$I$5:$I$504,"&gt;="&amp;DATE($C$5,$E$5,1),Lançamentos!$I$5:$I$504,"&lt;"&amp;DATE($C$5,$E$5+1,1),Lançamentos!$N$5:$N$504,"&lt;&gt;PAGO"))</f>
        <v>0</v>
      </c>
      <c r="F15" s="40" t="n">
        <f aca="false">IF(OR($B15="",$C$27=0),"",C15/$C$27)</f>
        <v>0</v>
      </c>
    </row>
    <row r="16" customFormat="false" ht="15" hidden="false" customHeight="false" outlineLevel="0" collapsed="false">
      <c r="B16" s="35" t="str">
        <f aca="false">IF(Cadastros!A8="","",Cadastros!A8)</f>
        <v>Comissões e Repasses</v>
      </c>
      <c r="C16" s="36" t="n">
        <f aca="false">IF($B16="","",SUMIFS(Lançamentos!$J$5:$J$504,Lançamentos!$D$5:$D$504,$B16,Lançamentos!$I$5:$I$504,"&gt;="&amp;DATE($C$5,$E$5,1),Lançamentos!$I$5:$I$504,"&lt;"&amp;DATE($C$5,$E$5+1,1)))</f>
        <v>0</v>
      </c>
      <c r="D16" s="36" t="n">
        <f aca="false">IF($B16="","",SUMIFS(Lançamentos!$L$5:$L$504,Lançamentos!$D$5:$D$504,$B16,Lançamentos!$I$5:$I$504,"&gt;="&amp;DATE($C$5,$E$5,1),Lançamentos!$I$5:$I$504,"&lt;"&amp;DATE($C$5,$E$5+1,1)))</f>
        <v>0</v>
      </c>
      <c r="E16" s="36" t="n">
        <f aca="false">IF($B16="","",SUMIFS(Lançamentos!$J$5:$J$504,Lançamentos!$D$5:$D$504,$B16,Lançamentos!$I$5:$I$504,"&gt;="&amp;DATE($C$5,$E$5,1),Lançamentos!$I$5:$I$504,"&lt;"&amp;DATE($C$5,$E$5+1,1),Lançamentos!$N$5:$N$504,"&lt;&gt;PAGO"))</f>
        <v>0</v>
      </c>
      <c r="F16" s="37" t="n">
        <f aca="false">IF(OR($B16="",$C$27=0),"",C16/$C$27)</f>
        <v>0</v>
      </c>
    </row>
    <row r="17" customFormat="false" ht="15" hidden="false" customHeight="false" outlineLevel="0" collapsed="false">
      <c r="B17" s="38" t="str">
        <f aca="false">IF(Cadastros!A9="","",Cadastros!A9)</f>
        <v>Despesas Comerciais e Marketing</v>
      </c>
      <c r="C17" s="39" t="n">
        <f aca="false">IF($B17="","",SUMIFS(Lançamentos!$J$5:$J$504,Lançamentos!$D$5:$D$504,$B17,Lançamentos!$I$5:$I$504,"&gt;="&amp;DATE($C$5,$E$5,1),Lançamentos!$I$5:$I$504,"&lt;"&amp;DATE($C$5,$E$5+1,1)))</f>
        <v>0</v>
      </c>
      <c r="D17" s="39" t="n">
        <f aca="false">IF($B17="","",SUMIFS(Lançamentos!$L$5:$L$504,Lançamentos!$D$5:$D$504,$B17,Lançamentos!$I$5:$I$504,"&gt;="&amp;DATE($C$5,$E$5,1),Lançamentos!$I$5:$I$504,"&lt;"&amp;DATE($C$5,$E$5+1,1)))</f>
        <v>0</v>
      </c>
      <c r="E17" s="39" t="n">
        <f aca="false">IF($B17="","",SUMIFS(Lançamentos!$J$5:$J$504,Lançamentos!$D$5:$D$504,$B17,Lançamentos!$I$5:$I$504,"&gt;="&amp;DATE($C$5,$E$5,1),Lançamentos!$I$5:$I$504,"&lt;"&amp;DATE($C$5,$E$5+1,1),Lançamentos!$N$5:$N$504,"&lt;&gt;PAGO"))</f>
        <v>0</v>
      </c>
      <c r="F17" s="40" t="n">
        <f aca="false">IF(OR($B17="",$C$27=0),"",C17/$C$27)</f>
        <v>0</v>
      </c>
    </row>
    <row r="18" customFormat="false" ht="15" hidden="false" customHeight="false" outlineLevel="0" collapsed="false">
      <c r="B18" s="35" t="str">
        <f aca="false">IF(Cadastros!A10="","",Cadastros!A10)</f>
        <v>Tecnologia e Software</v>
      </c>
      <c r="C18" s="36" t="n">
        <f aca="false">IF($B18="","",SUMIFS(Lançamentos!$J$5:$J$504,Lançamentos!$D$5:$D$504,$B18,Lançamentos!$I$5:$I$504,"&gt;="&amp;DATE($C$5,$E$5,1),Lançamentos!$I$5:$I$504,"&lt;"&amp;DATE($C$5,$E$5+1,1)))</f>
        <v>0</v>
      </c>
      <c r="D18" s="36" t="n">
        <f aca="false">IF($B18="","",SUMIFS(Lançamentos!$L$5:$L$504,Lançamentos!$D$5:$D$504,$B18,Lançamentos!$I$5:$I$504,"&gt;="&amp;DATE($C$5,$E$5,1),Lançamentos!$I$5:$I$504,"&lt;"&amp;DATE($C$5,$E$5+1,1)))</f>
        <v>0</v>
      </c>
      <c r="E18" s="36" t="n">
        <f aca="false">IF($B18="","",SUMIFS(Lançamentos!$J$5:$J$504,Lançamentos!$D$5:$D$504,$B18,Lançamentos!$I$5:$I$504,"&gt;="&amp;DATE($C$5,$E$5,1),Lançamentos!$I$5:$I$504,"&lt;"&amp;DATE($C$5,$E$5+1,1),Lançamentos!$N$5:$N$504,"&lt;&gt;PAGO"))</f>
        <v>0</v>
      </c>
      <c r="F18" s="37" t="n">
        <f aca="false">IF(OR($B18="",$C$27=0),"",C18/$C$27)</f>
        <v>0</v>
      </c>
    </row>
    <row r="19" customFormat="false" ht="15" hidden="false" customHeight="false" outlineLevel="0" collapsed="false">
      <c r="B19" s="38" t="str">
        <f aca="false">IF(Cadastros!A11="","",Cadastros!A11)</f>
        <v>Serviços de Terceiros</v>
      </c>
      <c r="C19" s="39" t="n">
        <f aca="false">IF($B19="","",SUMIFS(Lançamentos!$J$5:$J$504,Lançamentos!$D$5:$D$504,$B19,Lançamentos!$I$5:$I$504,"&gt;="&amp;DATE($C$5,$E$5,1),Lançamentos!$I$5:$I$504,"&lt;"&amp;DATE($C$5,$E$5+1,1)))</f>
        <v>0</v>
      </c>
      <c r="D19" s="39" t="n">
        <f aca="false">IF($B19="","",SUMIFS(Lançamentos!$L$5:$L$504,Lançamentos!$D$5:$D$504,$B19,Lançamentos!$I$5:$I$504,"&gt;="&amp;DATE($C$5,$E$5,1),Lançamentos!$I$5:$I$504,"&lt;"&amp;DATE($C$5,$E$5+1,1)))</f>
        <v>0</v>
      </c>
      <c r="E19" s="39" t="n">
        <f aca="false">IF($B19="","",SUMIFS(Lançamentos!$J$5:$J$504,Lançamentos!$D$5:$D$504,$B19,Lançamentos!$I$5:$I$504,"&gt;="&amp;DATE($C$5,$E$5,1),Lançamentos!$I$5:$I$504,"&lt;"&amp;DATE($C$5,$E$5+1,1),Lançamentos!$N$5:$N$504,"&lt;&gt;PAGO"))</f>
        <v>0</v>
      </c>
      <c r="F19" s="40" t="n">
        <f aca="false">IF(OR($B19="",$C$27=0),"",C19/$C$27)</f>
        <v>0</v>
      </c>
    </row>
    <row r="20" customFormat="false" ht="15" hidden="false" customHeight="false" outlineLevel="0" collapsed="false">
      <c r="B20" s="35" t="str">
        <f aca="false">IF(Cadastros!A12="","",Cadastros!A12)</f>
        <v>Despesas Financeiras</v>
      </c>
      <c r="C20" s="36" t="n">
        <f aca="false">IF($B20="","",SUMIFS(Lançamentos!$J$5:$J$504,Lançamentos!$D$5:$D$504,$B20,Lançamentos!$I$5:$I$504,"&gt;="&amp;DATE($C$5,$E$5,1),Lançamentos!$I$5:$I$504,"&lt;"&amp;DATE($C$5,$E$5+1,1)))</f>
        <v>0</v>
      </c>
      <c r="D20" s="36" t="n">
        <f aca="false">IF($B20="","",SUMIFS(Lançamentos!$L$5:$L$504,Lançamentos!$D$5:$D$504,$B20,Lançamentos!$I$5:$I$504,"&gt;="&amp;DATE($C$5,$E$5,1),Lançamentos!$I$5:$I$504,"&lt;"&amp;DATE($C$5,$E$5+1,1)))</f>
        <v>0</v>
      </c>
      <c r="E20" s="36" t="n">
        <f aca="false">IF($B20="","",SUMIFS(Lançamentos!$J$5:$J$504,Lançamentos!$D$5:$D$504,$B20,Lançamentos!$I$5:$I$504,"&gt;="&amp;DATE($C$5,$E$5,1),Lançamentos!$I$5:$I$504,"&lt;"&amp;DATE($C$5,$E$5+1,1),Lançamentos!$N$5:$N$504,"&lt;&gt;PAGO"))</f>
        <v>0</v>
      </c>
      <c r="F20" s="37" t="n">
        <f aca="false">IF(OR($B20="",$C$27=0),"",C20/$C$27)</f>
        <v>0</v>
      </c>
    </row>
    <row r="21" customFormat="false" ht="15" hidden="false" customHeight="false" outlineLevel="0" collapsed="false">
      <c r="B21" s="38" t="str">
        <f aca="false">IF(Cadastros!A13="","",Cadastros!A13)</f>
        <v>Veículos e Deslocamento</v>
      </c>
      <c r="C21" s="39" t="n">
        <f aca="false">IF($B21="","",SUMIFS(Lançamentos!$J$5:$J$504,Lançamentos!$D$5:$D$504,$B21,Lançamentos!$I$5:$I$504,"&gt;="&amp;DATE($C$5,$E$5,1),Lançamentos!$I$5:$I$504,"&lt;"&amp;DATE($C$5,$E$5+1,1)))</f>
        <v>0</v>
      </c>
      <c r="D21" s="39" t="n">
        <f aca="false">IF($B21="","",SUMIFS(Lançamentos!$L$5:$L$504,Lançamentos!$D$5:$D$504,$B21,Lançamentos!$I$5:$I$504,"&gt;="&amp;DATE($C$5,$E$5,1),Lançamentos!$I$5:$I$504,"&lt;"&amp;DATE($C$5,$E$5+1,1)))</f>
        <v>0</v>
      </c>
      <c r="E21" s="39" t="n">
        <f aca="false">IF($B21="","",SUMIFS(Lançamentos!$J$5:$J$504,Lançamentos!$D$5:$D$504,$B21,Lançamentos!$I$5:$I$504,"&gt;="&amp;DATE($C$5,$E$5,1),Lançamentos!$I$5:$I$504,"&lt;"&amp;DATE($C$5,$E$5+1,1),Lançamentos!$N$5:$N$504,"&lt;&gt;PAGO"))</f>
        <v>0</v>
      </c>
      <c r="F21" s="40" t="n">
        <f aca="false">IF(OR($B21="",$C$27=0),"",C21/$C$27)</f>
        <v>0</v>
      </c>
    </row>
    <row r="22" customFormat="false" ht="15" hidden="false" customHeight="false" outlineLevel="0" collapsed="false">
      <c r="B22" s="35" t="str">
        <f aca="false">IF(Cadastros!A14="","",Cadastros!A14)</f>
        <v>Honorários Contábeis e Jurídicos</v>
      </c>
      <c r="C22" s="36" t="n">
        <f aca="false">IF($B22="","",SUMIFS(Lançamentos!$J$5:$J$504,Lançamentos!$D$5:$D$504,$B22,Lançamentos!$I$5:$I$504,"&gt;="&amp;DATE($C$5,$E$5,1),Lançamentos!$I$5:$I$504,"&lt;"&amp;DATE($C$5,$E$5+1,1)))</f>
        <v>0</v>
      </c>
      <c r="D22" s="36" t="n">
        <f aca="false">IF($B22="","",SUMIFS(Lançamentos!$L$5:$L$504,Lançamentos!$D$5:$D$504,$B22,Lançamentos!$I$5:$I$504,"&gt;="&amp;DATE($C$5,$E$5,1),Lançamentos!$I$5:$I$504,"&lt;"&amp;DATE($C$5,$E$5+1,1)))</f>
        <v>0</v>
      </c>
      <c r="E22" s="36" t="n">
        <f aca="false">IF($B22="","",SUMIFS(Lançamentos!$J$5:$J$504,Lançamentos!$D$5:$D$504,$B22,Lançamentos!$I$5:$I$504,"&gt;="&amp;DATE($C$5,$E$5,1),Lançamentos!$I$5:$I$504,"&lt;"&amp;DATE($C$5,$E$5+1,1),Lançamentos!$N$5:$N$504,"&lt;&gt;PAGO"))</f>
        <v>0</v>
      </c>
      <c r="F22" s="37" t="n">
        <f aca="false">IF(OR($B22="",$C$27=0),"",C22/$C$27)</f>
        <v>0</v>
      </c>
    </row>
    <row r="23" customFormat="false" ht="15" hidden="false" customHeight="false" outlineLevel="0" collapsed="false">
      <c r="B23" s="38" t="str">
        <f aca="false">IF(Cadastros!A15="","",Cadastros!A15)</f>
        <v>Outras Despesas</v>
      </c>
      <c r="C23" s="39" t="n">
        <f aca="false">IF($B23="","",SUMIFS(Lançamentos!$J$5:$J$504,Lançamentos!$D$5:$D$504,$B23,Lançamentos!$I$5:$I$504,"&gt;="&amp;DATE($C$5,$E$5,1),Lançamentos!$I$5:$I$504,"&lt;"&amp;DATE($C$5,$E$5+1,1)))</f>
        <v>0</v>
      </c>
      <c r="D23" s="39" t="n">
        <f aca="false">IF($B23="","",SUMIFS(Lançamentos!$L$5:$L$504,Lançamentos!$D$5:$D$504,$B23,Lançamentos!$I$5:$I$504,"&gt;="&amp;DATE($C$5,$E$5,1),Lançamentos!$I$5:$I$504,"&lt;"&amp;DATE($C$5,$E$5+1,1)))</f>
        <v>0</v>
      </c>
      <c r="E23" s="39" t="n">
        <f aca="false">IF($B23="","",SUMIFS(Lançamentos!$J$5:$J$504,Lançamentos!$D$5:$D$504,$B23,Lançamentos!$I$5:$I$504,"&gt;="&amp;DATE($C$5,$E$5,1),Lançamentos!$I$5:$I$504,"&lt;"&amp;DATE($C$5,$E$5+1,1),Lançamentos!$N$5:$N$504,"&lt;&gt;PAGO"))</f>
        <v>0</v>
      </c>
      <c r="F23" s="40" t="n">
        <f aca="false">IF(OR($B23="",$C$27=0),"",C23/$C$27)</f>
        <v>0</v>
      </c>
    </row>
    <row r="24" customFormat="false" ht="15" hidden="false" customHeight="false" outlineLevel="0" collapsed="false">
      <c r="B24" s="35" t="str">
        <f aca="false">IF(Cadastros!A16="","",Cadastros!A16)</f>
        <v/>
      </c>
      <c r="C24" s="36" t="str">
        <f aca="false">IF($B24="","",SUMIFS(Lançamentos!$J$5:$J$504,Lançamentos!$D$5:$D$504,$B24,Lançamentos!$I$5:$I$504,"&gt;="&amp;DATE($C$5,$E$5,1),Lançamentos!$I$5:$I$504,"&lt;"&amp;DATE($C$5,$E$5+1,1)))</f>
        <v/>
      </c>
      <c r="D24" s="36" t="str">
        <f aca="false">IF($B24="","",SUMIFS(Lançamentos!$L$5:$L$504,Lançamentos!$D$5:$D$504,$B24,Lançamentos!$I$5:$I$504,"&gt;="&amp;DATE($C$5,$E$5,1),Lançamentos!$I$5:$I$504,"&lt;"&amp;DATE($C$5,$E$5+1,1)))</f>
        <v/>
      </c>
      <c r="E24" s="36" t="str">
        <f aca="false">IF($B24="","",SUMIFS(Lançamentos!$J$5:$J$504,Lançamentos!$D$5:$D$504,$B24,Lançamentos!$I$5:$I$504,"&gt;="&amp;DATE($C$5,$E$5,1),Lançamentos!$I$5:$I$504,"&lt;"&amp;DATE($C$5,$E$5+1,1),Lançamentos!$N$5:$N$504,"&lt;&gt;PAGO"))</f>
        <v/>
      </c>
      <c r="F24" s="37" t="str">
        <f aca="false">IF(OR($B24="",$C$27=0),"",C24/$C$27)</f>
        <v/>
      </c>
    </row>
    <row r="25" customFormat="false" ht="15" hidden="false" customHeight="false" outlineLevel="0" collapsed="false">
      <c r="B25" s="38" t="str">
        <f aca="false">IF(Cadastros!A17="","",Cadastros!A17)</f>
        <v/>
      </c>
      <c r="C25" s="39" t="str">
        <f aca="false">IF($B25="","",SUMIFS(Lançamentos!$J$5:$J$504,Lançamentos!$D$5:$D$504,$B25,Lançamentos!$I$5:$I$504,"&gt;="&amp;DATE($C$5,$E$5,1),Lançamentos!$I$5:$I$504,"&lt;"&amp;DATE($C$5,$E$5+1,1)))</f>
        <v/>
      </c>
      <c r="D25" s="39" t="str">
        <f aca="false">IF($B25="","",SUMIFS(Lançamentos!$L$5:$L$504,Lançamentos!$D$5:$D$504,$B25,Lançamentos!$I$5:$I$504,"&gt;="&amp;DATE($C$5,$E$5,1),Lançamentos!$I$5:$I$504,"&lt;"&amp;DATE($C$5,$E$5+1,1)))</f>
        <v/>
      </c>
      <c r="E25" s="39" t="str">
        <f aca="false">IF($B25="","",SUMIFS(Lançamentos!$J$5:$J$504,Lançamentos!$D$5:$D$504,$B25,Lançamentos!$I$5:$I$504,"&gt;="&amp;DATE($C$5,$E$5,1),Lançamentos!$I$5:$I$504,"&lt;"&amp;DATE($C$5,$E$5+1,1),Lançamentos!$N$5:$N$504,"&lt;&gt;PAGO"))</f>
        <v/>
      </c>
      <c r="F25" s="40" t="str">
        <f aca="false">IF(OR($B25="",$C$27=0),"",C25/$C$27)</f>
        <v/>
      </c>
    </row>
    <row r="26" customFormat="false" ht="15" hidden="false" customHeight="false" outlineLevel="0" collapsed="false">
      <c r="B26" s="35" t="str">
        <f aca="false">IF(Cadastros!A18="","",Cadastros!A18)</f>
        <v/>
      </c>
      <c r="C26" s="36" t="str">
        <f aca="false">IF($B26="","",SUMIFS(Lançamentos!$J$5:$J$504,Lançamentos!$D$5:$D$504,$B26,Lançamentos!$I$5:$I$504,"&gt;="&amp;DATE($C$5,$E$5,1),Lançamentos!$I$5:$I$504,"&lt;"&amp;DATE($C$5,$E$5+1,1)))</f>
        <v/>
      </c>
      <c r="D26" s="36" t="str">
        <f aca="false">IF($B26="","",SUMIFS(Lançamentos!$L$5:$L$504,Lançamentos!$D$5:$D$504,$B26,Lançamentos!$I$5:$I$504,"&gt;="&amp;DATE($C$5,$E$5,1),Lançamentos!$I$5:$I$504,"&lt;"&amp;DATE($C$5,$E$5+1,1)))</f>
        <v/>
      </c>
      <c r="E26" s="36" t="str">
        <f aca="false">IF($B26="","",SUMIFS(Lançamentos!$J$5:$J$504,Lançamentos!$D$5:$D$504,$B26,Lançamentos!$I$5:$I$504,"&gt;="&amp;DATE($C$5,$E$5,1),Lançamentos!$I$5:$I$504,"&lt;"&amp;DATE($C$5,$E$5+1,1),Lançamentos!$N$5:$N$504,"&lt;&gt;PAGO"))</f>
        <v/>
      </c>
      <c r="F26" s="37" t="str">
        <f aca="false">IF(OR($B26="",$C$27=0),"",C26/$C$27)</f>
        <v/>
      </c>
    </row>
    <row r="27" customFormat="false" ht="15" hidden="false" customHeight="false" outlineLevel="0" collapsed="false">
      <c r="B27" s="41" t="s">
        <v>34</v>
      </c>
      <c r="C27" s="42" t="n">
        <f aca="false">SUM(C12:C26)</f>
        <v>4319</v>
      </c>
      <c r="D27" s="42" t="n">
        <f aca="false">SUM(D12:D26)</f>
        <v>0</v>
      </c>
      <c r="E27" s="42" t="n">
        <f aca="false">SUM(E12:E26)</f>
        <v>4319</v>
      </c>
      <c r="F27" s="43" t="n">
        <f aca="false">IF(C27=0,0,SUM(F12:F26))</f>
        <v>1</v>
      </c>
    </row>
    <row r="29" customFormat="false" ht="15" hidden="false" customHeight="false" outlineLevel="0" collapsed="false">
      <c r="B29" s="22" t="s">
        <v>35</v>
      </c>
    </row>
    <row r="30" customFormat="false" ht="15" hidden="false" customHeight="false" outlineLevel="0" collapsed="false">
      <c r="B30" s="7" t="s">
        <v>36</v>
      </c>
      <c r="C30" s="7" t="s">
        <v>30</v>
      </c>
      <c r="D30" s="7" t="s">
        <v>37</v>
      </c>
      <c r="E30" s="7" t="s">
        <v>32</v>
      </c>
      <c r="F30" s="7" t="s">
        <v>38</v>
      </c>
      <c r="G30" s="7" t="s">
        <v>39</v>
      </c>
    </row>
    <row r="31" customFormat="false" ht="15" hidden="false" customHeight="false" outlineLevel="0" collapsed="false">
      <c r="B31" s="44" t="n">
        <f aca="false">DATE($C$5,1,1)</f>
        <v>46023</v>
      </c>
      <c r="C31" s="36" t="n">
        <f aca="false">SUMIFS(Lançamentos!$J$5:$J$504,Lançamentos!$I$5:$I$504,"&gt;="&amp;DATE($C$5,1,1),Lançamentos!$I$5:$I$504,"&lt;"&amp;DATE($C$5,2,1))</f>
        <v>0</v>
      </c>
      <c r="D31" s="36" t="n">
        <f aca="false">SUMIFS(Lançamentos!$L$5:$L$504,Lançamentos!$I$5:$I$504,"&gt;="&amp;DATE($C$5,1,1),Lançamentos!$I$5:$I$504,"&lt;"&amp;DATE($C$5,2,1))</f>
        <v>0</v>
      </c>
      <c r="E31" s="36" t="n">
        <f aca="false">SUMIFS(Lançamentos!$J$5:$J$504,Lançamentos!$I$5:$I$504,"&gt;="&amp;DATE($C$5,1,1),Lançamentos!$I$5:$I$504,"&lt;"&amp;DATE($C$5,2,1),Lançamentos!$N$5:$N$504,"&lt;&gt;PAGO")</f>
        <v>0</v>
      </c>
      <c r="F31" s="36" t="n">
        <f aca="false">SUMIFS(Lançamentos!$J$5:$J$504,Lançamentos!$I$5:$I$504,"&gt;="&amp;DATE($C$5,1,1),Lançamentos!$I$5:$I$504,"&lt;"&amp;DATE($C$5,2,1),Lançamentos!$E$5:$E$504,Cadastros!$C$4)</f>
        <v>0</v>
      </c>
      <c r="G31" s="36" t="n">
        <f aca="false">SUMIFS(Lançamentos!$J$5:$J$504,Lançamentos!$I$5:$I$504,"&gt;="&amp;DATE($C$5,1,1),Lançamentos!$I$5:$I$504,"&lt;"&amp;DATE($C$5,2,1),Lançamentos!$E$5:$E$504,Cadastros!$C$5)</f>
        <v>0</v>
      </c>
    </row>
    <row r="32" customFormat="false" ht="15" hidden="false" customHeight="false" outlineLevel="0" collapsed="false">
      <c r="B32" s="45" t="n">
        <f aca="false">DATE($C$5,2,1)</f>
        <v>46054</v>
      </c>
      <c r="C32" s="39" t="n">
        <f aca="false">SUMIFS(Lançamentos!$J$5:$J$504,Lançamentos!$I$5:$I$504,"&gt;="&amp;DATE($C$5,2,1),Lançamentos!$I$5:$I$504,"&lt;"&amp;DATE($C$5,3,1))</f>
        <v>0</v>
      </c>
      <c r="D32" s="39" t="n">
        <f aca="false">SUMIFS(Lançamentos!$L$5:$L$504,Lançamentos!$I$5:$I$504,"&gt;="&amp;DATE($C$5,2,1),Lançamentos!$I$5:$I$504,"&lt;"&amp;DATE($C$5,3,1))</f>
        <v>0</v>
      </c>
      <c r="E32" s="39" t="n">
        <f aca="false">SUMIFS(Lançamentos!$J$5:$J$504,Lançamentos!$I$5:$I$504,"&gt;="&amp;DATE($C$5,2,1),Lançamentos!$I$5:$I$504,"&lt;"&amp;DATE($C$5,3,1),Lançamentos!$N$5:$N$504,"&lt;&gt;PAGO")</f>
        <v>0</v>
      </c>
      <c r="F32" s="39" t="n">
        <f aca="false">SUMIFS(Lançamentos!$J$5:$J$504,Lançamentos!$I$5:$I$504,"&gt;="&amp;DATE($C$5,2,1),Lançamentos!$I$5:$I$504,"&lt;"&amp;DATE($C$5,3,1),Lançamentos!$E$5:$E$504,Cadastros!$C$4)</f>
        <v>0</v>
      </c>
      <c r="G32" s="39" t="n">
        <f aca="false">SUMIFS(Lançamentos!$J$5:$J$504,Lançamentos!$I$5:$I$504,"&gt;="&amp;DATE($C$5,2,1),Lançamentos!$I$5:$I$504,"&lt;"&amp;DATE($C$5,3,1),Lançamentos!$E$5:$E$504,Cadastros!$C$5)</f>
        <v>0</v>
      </c>
    </row>
    <row r="33" customFormat="false" ht="15" hidden="false" customHeight="false" outlineLevel="0" collapsed="false">
      <c r="B33" s="44" t="n">
        <f aca="false">DATE($C$5,3,1)</f>
        <v>46082</v>
      </c>
      <c r="C33" s="36" t="n">
        <f aca="false">SUMIFS(Lançamentos!$J$5:$J$504,Lançamentos!$I$5:$I$504,"&gt;="&amp;DATE($C$5,3,1),Lançamentos!$I$5:$I$504,"&lt;"&amp;DATE($C$5,4,1))</f>
        <v>0</v>
      </c>
      <c r="D33" s="36" t="n">
        <f aca="false">SUMIFS(Lançamentos!$L$5:$L$504,Lançamentos!$I$5:$I$504,"&gt;="&amp;DATE($C$5,3,1),Lançamentos!$I$5:$I$504,"&lt;"&amp;DATE($C$5,4,1))</f>
        <v>0</v>
      </c>
      <c r="E33" s="36" t="n">
        <f aca="false">SUMIFS(Lançamentos!$J$5:$J$504,Lançamentos!$I$5:$I$504,"&gt;="&amp;DATE($C$5,3,1),Lançamentos!$I$5:$I$504,"&lt;"&amp;DATE($C$5,4,1),Lançamentos!$N$5:$N$504,"&lt;&gt;PAGO")</f>
        <v>0</v>
      </c>
      <c r="F33" s="36" t="n">
        <f aca="false">SUMIFS(Lançamentos!$J$5:$J$504,Lançamentos!$I$5:$I$504,"&gt;="&amp;DATE($C$5,3,1),Lançamentos!$I$5:$I$504,"&lt;"&amp;DATE($C$5,4,1),Lançamentos!$E$5:$E$504,Cadastros!$C$4)</f>
        <v>0</v>
      </c>
      <c r="G33" s="36" t="n">
        <f aca="false">SUMIFS(Lançamentos!$J$5:$J$504,Lançamentos!$I$5:$I$504,"&gt;="&amp;DATE($C$5,3,1),Lançamentos!$I$5:$I$504,"&lt;"&amp;DATE($C$5,4,1),Lançamentos!$E$5:$E$504,Cadastros!$C$5)</f>
        <v>0</v>
      </c>
    </row>
    <row r="34" customFormat="false" ht="15" hidden="false" customHeight="false" outlineLevel="0" collapsed="false">
      <c r="B34" s="45" t="n">
        <f aca="false">DATE($C$5,4,1)</f>
        <v>46113</v>
      </c>
      <c r="C34" s="39" t="n">
        <f aca="false">SUMIFS(Lançamentos!$J$5:$J$504,Lançamentos!$I$5:$I$504,"&gt;="&amp;DATE($C$5,4,1),Lançamentos!$I$5:$I$504,"&lt;"&amp;DATE($C$5,5,1))</f>
        <v>0</v>
      </c>
      <c r="D34" s="39" t="n">
        <f aca="false">SUMIFS(Lançamentos!$L$5:$L$504,Lançamentos!$I$5:$I$504,"&gt;="&amp;DATE($C$5,4,1),Lançamentos!$I$5:$I$504,"&lt;"&amp;DATE($C$5,5,1))</f>
        <v>0</v>
      </c>
      <c r="E34" s="39" t="n">
        <f aca="false">SUMIFS(Lançamentos!$J$5:$J$504,Lançamentos!$I$5:$I$504,"&gt;="&amp;DATE($C$5,4,1),Lançamentos!$I$5:$I$504,"&lt;"&amp;DATE($C$5,5,1),Lançamentos!$N$5:$N$504,"&lt;&gt;PAGO")</f>
        <v>0</v>
      </c>
      <c r="F34" s="39" t="n">
        <f aca="false">SUMIFS(Lançamentos!$J$5:$J$504,Lançamentos!$I$5:$I$504,"&gt;="&amp;DATE($C$5,4,1),Lançamentos!$I$5:$I$504,"&lt;"&amp;DATE($C$5,5,1),Lançamentos!$E$5:$E$504,Cadastros!$C$4)</f>
        <v>0</v>
      </c>
      <c r="G34" s="39" t="n">
        <f aca="false">SUMIFS(Lançamentos!$J$5:$J$504,Lançamentos!$I$5:$I$504,"&gt;="&amp;DATE($C$5,4,1),Lançamentos!$I$5:$I$504,"&lt;"&amp;DATE($C$5,5,1),Lançamentos!$E$5:$E$504,Cadastros!$C$5)</f>
        <v>0</v>
      </c>
    </row>
    <row r="35" customFormat="false" ht="15" hidden="false" customHeight="false" outlineLevel="0" collapsed="false">
      <c r="B35" s="44" t="n">
        <f aca="false">DATE($C$5,5,1)</f>
        <v>46143</v>
      </c>
      <c r="C35" s="36" t="n">
        <f aca="false">SUMIFS(Lançamentos!$J$5:$J$504,Lançamentos!$I$5:$I$504,"&gt;="&amp;DATE($C$5,5,1),Lançamentos!$I$5:$I$504,"&lt;"&amp;DATE($C$5,6,1))</f>
        <v>0</v>
      </c>
      <c r="D35" s="36" t="n">
        <f aca="false">SUMIFS(Lançamentos!$L$5:$L$504,Lançamentos!$I$5:$I$504,"&gt;="&amp;DATE($C$5,5,1),Lançamentos!$I$5:$I$504,"&lt;"&amp;DATE($C$5,6,1))</f>
        <v>0</v>
      </c>
      <c r="E35" s="36" t="n">
        <f aca="false">SUMIFS(Lançamentos!$J$5:$J$504,Lançamentos!$I$5:$I$504,"&gt;="&amp;DATE($C$5,5,1),Lançamentos!$I$5:$I$504,"&lt;"&amp;DATE($C$5,6,1),Lançamentos!$N$5:$N$504,"&lt;&gt;PAGO")</f>
        <v>0</v>
      </c>
      <c r="F35" s="36" t="n">
        <f aca="false">SUMIFS(Lançamentos!$J$5:$J$504,Lançamentos!$I$5:$I$504,"&gt;="&amp;DATE($C$5,5,1),Lançamentos!$I$5:$I$504,"&lt;"&amp;DATE($C$5,6,1),Lançamentos!$E$5:$E$504,Cadastros!$C$4)</f>
        <v>0</v>
      </c>
      <c r="G35" s="36" t="n">
        <f aca="false">SUMIFS(Lançamentos!$J$5:$J$504,Lançamentos!$I$5:$I$504,"&gt;="&amp;DATE($C$5,5,1),Lançamentos!$I$5:$I$504,"&lt;"&amp;DATE($C$5,6,1),Lançamentos!$E$5:$E$504,Cadastros!$C$5)</f>
        <v>0</v>
      </c>
    </row>
    <row r="36" customFormat="false" ht="15" hidden="false" customHeight="false" outlineLevel="0" collapsed="false">
      <c r="B36" s="45" t="n">
        <f aca="false">DATE($C$5,6,1)</f>
        <v>46174</v>
      </c>
      <c r="C36" s="39" t="n">
        <f aca="false">SUMIFS(Lançamentos!$J$5:$J$504,Lançamentos!$I$5:$I$504,"&gt;="&amp;DATE($C$5,6,1),Lançamentos!$I$5:$I$504,"&lt;"&amp;DATE($C$5,7,1))</f>
        <v>0</v>
      </c>
      <c r="D36" s="39" t="n">
        <f aca="false">SUMIFS(Lançamentos!$L$5:$L$504,Lançamentos!$I$5:$I$504,"&gt;="&amp;DATE($C$5,6,1),Lançamentos!$I$5:$I$504,"&lt;"&amp;DATE($C$5,7,1))</f>
        <v>0</v>
      </c>
      <c r="E36" s="39" t="n">
        <f aca="false">SUMIFS(Lançamentos!$J$5:$J$504,Lançamentos!$I$5:$I$504,"&gt;="&amp;DATE($C$5,6,1),Lançamentos!$I$5:$I$504,"&lt;"&amp;DATE($C$5,7,1),Lançamentos!$N$5:$N$504,"&lt;&gt;PAGO")</f>
        <v>0</v>
      </c>
      <c r="F36" s="39" t="n">
        <f aca="false">SUMIFS(Lançamentos!$J$5:$J$504,Lançamentos!$I$5:$I$504,"&gt;="&amp;DATE($C$5,6,1),Lançamentos!$I$5:$I$504,"&lt;"&amp;DATE($C$5,7,1),Lançamentos!$E$5:$E$504,Cadastros!$C$4)</f>
        <v>0</v>
      </c>
      <c r="G36" s="39" t="n">
        <f aca="false">SUMIFS(Lançamentos!$J$5:$J$504,Lançamentos!$I$5:$I$504,"&gt;="&amp;DATE($C$5,6,1),Lançamentos!$I$5:$I$504,"&lt;"&amp;DATE($C$5,7,1),Lançamentos!$E$5:$E$504,Cadastros!$C$5)</f>
        <v>0</v>
      </c>
    </row>
    <row r="37" customFormat="false" ht="15" hidden="false" customHeight="false" outlineLevel="0" collapsed="false">
      <c r="B37" s="44" t="n">
        <f aca="false">DATE($C$5,7,1)</f>
        <v>46204</v>
      </c>
      <c r="C37" s="36" t="n">
        <f aca="false">SUMIFS(Lançamentos!$J$5:$J$504,Lançamentos!$I$5:$I$504,"&gt;="&amp;DATE($C$5,7,1),Lançamentos!$I$5:$I$504,"&lt;"&amp;DATE($C$5,8,1))</f>
        <v>0</v>
      </c>
      <c r="D37" s="36" t="n">
        <f aca="false">SUMIFS(Lançamentos!$L$5:$L$504,Lançamentos!$I$5:$I$504,"&gt;="&amp;DATE($C$5,7,1),Lançamentos!$I$5:$I$504,"&lt;"&amp;DATE($C$5,8,1))</f>
        <v>0</v>
      </c>
      <c r="E37" s="36" t="n">
        <f aca="false">SUMIFS(Lançamentos!$J$5:$J$504,Lançamentos!$I$5:$I$504,"&gt;="&amp;DATE($C$5,7,1),Lançamentos!$I$5:$I$504,"&lt;"&amp;DATE($C$5,8,1),Lançamentos!$N$5:$N$504,"&lt;&gt;PAGO")</f>
        <v>0</v>
      </c>
      <c r="F37" s="36" t="n">
        <f aca="false">SUMIFS(Lançamentos!$J$5:$J$504,Lançamentos!$I$5:$I$504,"&gt;="&amp;DATE($C$5,7,1),Lançamentos!$I$5:$I$504,"&lt;"&amp;DATE($C$5,8,1),Lançamentos!$E$5:$E$504,Cadastros!$C$4)</f>
        <v>0</v>
      </c>
      <c r="G37" s="36" t="n">
        <f aca="false">SUMIFS(Lançamentos!$J$5:$J$504,Lançamentos!$I$5:$I$504,"&gt;="&amp;DATE($C$5,7,1),Lançamentos!$I$5:$I$504,"&lt;"&amp;DATE($C$5,8,1),Lançamentos!$E$5:$E$504,Cadastros!$C$5)</f>
        <v>0</v>
      </c>
    </row>
    <row r="38" customFormat="false" ht="15" hidden="false" customHeight="false" outlineLevel="0" collapsed="false">
      <c r="B38" s="45" t="n">
        <f aca="false">DATE($C$5,8,1)</f>
        <v>46235</v>
      </c>
      <c r="C38" s="39" t="n">
        <f aca="false">SUMIFS(Lançamentos!$J$5:$J$504,Lançamentos!$I$5:$I$504,"&gt;="&amp;DATE($C$5,8,1),Lançamentos!$I$5:$I$504,"&lt;"&amp;DATE($C$5,9,1))</f>
        <v>0</v>
      </c>
      <c r="D38" s="39" t="n">
        <f aca="false">SUMIFS(Lançamentos!$L$5:$L$504,Lançamentos!$I$5:$I$504,"&gt;="&amp;DATE($C$5,8,1),Lançamentos!$I$5:$I$504,"&lt;"&amp;DATE($C$5,9,1))</f>
        <v>0</v>
      </c>
      <c r="E38" s="39" t="n">
        <f aca="false">SUMIFS(Lançamentos!$J$5:$J$504,Lançamentos!$I$5:$I$504,"&gt;="&amp;DATE($C$5,8,1),Lançamentos!$I$5:$I$504,"&lt;"&amp;DATE($C$5,9,1),Lançamentos!$N$5:$N$504,"&lt;&gt;PAGO")</f>
        <v>0</v>
      </c>
      <c r="F38" s="39" t="n">
        <f aca="false">SUMIFS(Lançamentos!$J$5:$J$504,Lançamentos!$I$5:$I$504,"&gt;="&amp;DATE($C$5,8,1),Lançamentos!$I$5:$I$504,"&lt;"&amp;DATE($C$5,9,1),Lançamentos!$E$5:$E$504,Cadastros!$C$4)</f>
        <v>0</v>
      </c>
      <c r="G38" s="39" t="n">
        <f aca="false">SUMIFS(Lançamentos!$J$5:$J$504,Lançamentos!$I$5:$I$504,"&gt;="&amp;DATE($C$5,8,1),Lançamentos!$I$5:$I$504,"&lt;"&amp;DATE($C$5,9,1),Lançamentos!$E$5:$E$504,Cadastros!$C$5)</f>
        <v>0</v>
      </c>
    </row>
    <row r="39" customFormat="false" ht="15" hidden="false" customHeight="false" outlineLevel="0" collapsed="false">
      <c r="B39" s="44" t="n">
        <f aca="false">DATE($C$5,9,1)</f>
        <v>46266</v>
      </c>
      <c r="C39" s="36" t="n">
        <f aca="false">SUMIFS(Lançamentos!$J$5:$J$504,Lançamentos!$I$5:$I$504,"&gt;="&amp;DATE($C$5,9,1),Lançamentos!$I$5:$I$504,"&lt;"&amp;DATE($C$5,10,1))</f>
        <v>0</v>
      </c>
      <c r="D39" s="36" t="n">
        <f aca="false">SUMIFS(Lançamentos!$L$5:$L$504,Lançamentos!$I$5:$I$504,"&gt;="&amp;DATE($C$5,9,1),Lançamentos!$I$5:$I$504,"&lt;"&amp;DATE($C$5,10,1))</f>
        <v>0</v>
      </c>
      <c r="E39" s="36" t="n">
        <f aca="false">SUMIFS(Lançamentos!$J$5:$J$504,Lançamentos!$I$5:$I$504,"&gt;="&amp;DATE($C$5,9,1),Lançamentos!$I$5:$I$504,"&lt;"&amp;DATE($C$5,10,1),Lançamentos!$N$5:$N$504,"&lt;&gt;PAGO")</f>
        <v>0</v>
      </c>
      <c r="F39" s="36" t="n">
        <f aca="false">SUMIFS(Lançamentos!$J$5:$J$504,Lançamentos!$I$5:$I$504,"&gt;="&amp;DATE($C$5,9,1),Lançamentos!$I$5:$I$504,"&lt;"&amp;DATE($C$5,10,1),Lançamentos!$E$5:$E$504,Cadastros!$C$4)</f>
        <v>0</v>
      </c>
      <c r="G39" s="36" t="n">
        <f aca="false">SUMIFS(Lançamentos!$J$5:$J$504,Lançamentos!$I$5:$I$504,"&gt;="&amp;DATE($C$5,9,1),Lançamentos!$I$5:$I$504,"&lt;"&amp;DATE($C$5,10,1),Lançamentos!$E$5:$E$504,Cadastros!$C$5)</f>
        <v>0</v>
      </c>
    </row>
    <row r="40" customFormat="false" ht="15" hidden="false" customHeight="false" outlineLevel="0" collapsed="false">
      <c r="B40" s="45" t="n">
        <f aca="false">DATE($C$5,10,1)</f>
        <v>46296</v>
      </c>
      <c r="C40" s="39" t="n">
        <f aca="false">SUMIFS(Lançamentos!$J$5:$J$504,Lançamentos!$I$5:$I$504,"&gt;="&amp;DATE($C$5,10,1),Lançamentos!$I$5:$I$504,"&lt;"&amp;DATE($C$5,11,1))</f>
        <v>4319</v>
      </c>
      <c r="D40" s="39" t="n">
        <f aca="false">SUMIFS(Lançamentos!$L$5:$L$504,Lançamentos!$I$5:$I$504,"&gt;="&amp;DATE($C$5,10,1),Lançamentos!$I$5:$I$504,"&lt;"&amp;DATE($C$5,11,1))</f>
        <v>0</v>
      </c>
      <c r="E40" s="39" t="n">
        <f aca="false">SUMIFS(Lançamentos!$J$5:$J$504,Lançamentos!$I$5:$I$504,"&gt;="&amp;DATE($C$5,10,1),Lançamentos!$I$5:$I$504,"&lt;"&amp;DATE($C$5,11,1),Lançamentos!$N$5:$N$504,"&lt;&gt;PAGO")</f>
        <v>4319</v>
      </c>
      <c r="F40" s="39" t="n">
        <f aca="false">SUMIFS(Lançamentos!$J$5:$J$504,Lançamentos!$I$5:$I$504,"&gt;="&amp;DATE($C$5,10,1),Lançamentos!$I$5:$I$504,"&lt;"&amp;DATE($C$5,11,1),Lançamentos!$E$5:$E$504,Cadastros!$C$4)</f>
        <v>4319</v>
      </c>
      <c r="G40" s="39" t="n">
        <f aca="false">SUMIFS(Lançamentos!$J$5:$J$504,Lançamentos!$I$5:$I$504,"&gt;="&amp;DATE($C$5,10,1),Lançamentos!$I$5:$I$504,"&lt;"&amp;DATE($C$5,11,1),Lançamentos!$E$5:$E$504,Cadastros!$C$5)</f>
        <v>0</v>
      </c>
    </row>
    <row r="41" customFormat="false" ht="15" hidden="false" customHeight="false" outlineLevel="0" collapsed="false">
      <c r="B41" s="44" t="n">
        <f aca="false">DATE($C$5,11,1)</f>
        <v>46327</v>
      </c>
      <c r="C41" s="36" t="n">
        <f aca="false">SUMIFS(Lançamentos!$J$5:$J$504,Lançamentos!$I$5:$I$504,"&gt;="&amp;DATE($C$5,11,1),Lançamentos!$I$5:$I$504,"&lt;"&amp;DATE($C$5,12,1))</f>
        <v>0</v>
      </c>
      <c r="D41" s="36" t="n">
        <f aca="false">SUMIFS(Lançamentos!$L$5:$L$504,Lançamentos!$I$5:$I$504,"&gt;="&amp;DATE($C$5,11,1),Lançamentos!$I$5:$I$504,"&lt;"&amp;DATE($C$5,12,1))</f>
        <v>0</v>
      </c>
      <c r="E41" s="36" t="n">
        <f aca="false">SUMIFS(Lançamentos!$J$5:$J$504,Lançamentos!$I$5:$I$504,"&gt;="&amp;DATE($C$5,11,1),Lançamentos!$I$5:$I$504,"&lt;"&amp;DATE($C$5,12,1),Lançamentos!$N$5:$N$504,"&lt;&gt;PAGO")</f>
        <v>0</v>
      </c>
      <c r="F41" s="36" t="n">
        <f aca="false">SUMIFS(Lançamentos!$J$5:$J$504,Lançamentos!$I$5:$I$504,"&gt;="&amp;DATE($C$5,11,1),Lançamentos!$I$5:$I$504,"&lt;"&amp;DATE($C$5,12,1),Lançamentos!$E$5:$E$504,Cadastros!$C$4)</f>
        <v>0</v>
      </c>
      <c r="G41" s="36" t="n">
        <f aca="false">SUMIFS(Lançamentos!$J$5:$J$504,Lançamentos!$I$5:$I$504,"&gt;="&amp;DATE($C$5,11,1),Lançamentos!$I$5:$I$504,"&lt;"&amp;DATE($C$5,12,1),Lançamentos!$E$5:$E$504,Cadastros!$C$5)</f>
        <v>0</v>
      </c>
    </row>
    <row r="42" customFormat="false" ht="15" hidden="false" customHeight="false" outlineLevel="0" collapsed="false">
      <c r="B42" s="45" t="n">
        <f aca="false">DATE($C$5,12,1)</f>
        <v>46357</v>
      </c>
      <c r="C42" s="39" t="n">
        <f aca="false">SUMIFS(Lançamentos!$J$5:$J$504,Lançamentos!$I$5:$I$504,"&gt;="&amp;DATE($C$5,12,1),Lançamentos!$I$5:$I$504,"&lt;"&amp;DATE($C$5,13,1))</f>
        <v>0</v>
      </c>
      <c r="D42" s="39" t="n">
        <f aca="false">SUMIFS(Lançamentos!$L$5:$L$504,Lançamentos!$I$5:$I$504,"&gt;="&amp;DATE($C$5,12,1),Lançamentos!$I$5:$I$504,"&lt;"&amp;DATE($C$5,13,1))</f>
        <v>0</v>
      </c>
      <c r="E42" s="39" t="n">
        <f aca="false">SUMIFS(Lançamentos!$J$5:$J$504,Lançamentos!$I$5:$I$504,"&gt;="&amp;DATE($C$5,12,1),Lançamentos!$I$5:$I$504,"&lt;"&amp;DATE($C$5,13,1),Lançamentos!$N$5:$N$504,"&lt;&gt;PAGO")</f>
        <v>0</v>
      </c>
      <c r="F42" s="39" t="n">
        <f aca="false">SUMIFS(Lançamentos!$J$5:$J$504,Lançamentos!$I$5:$I$504,"&gt;="&amp;DATE($C$5,12,1),Lançamentos!$I$5:$I$504,"&lt;"&amp;DATE($C$5,13,1),Lançamentos!$E$5:$E$504,Cadastros!$C$4)</f>
        <v>0</v>
      </c>
      <c r="G42" s="39" t="n">
        <f aca="false">SUMIFS(Lançamentos!$J$5:$J$504,Lançamentos!$I$5:$I$504,"&gt;="&amp;DATE($C$5,12,1),Lançamentos!$I$5:$I$504,"&lt;"&amp;DATE($C$5,13,1),Lançamentos!$E$5:$E$504,Cadastros!$C$5)</f>
        <v>0</v>
      </c>
    </row>
    <row r="43" customFormat="false" ht="15" hidden="false" customHeight="false" outlineLevel="0" collapsed="false">
      <c r="B43" s="41" t="s">
        <v>40</v>
      </c>
      <c r="C43" s="42" t="n">
        <f aca="false">SUM(C31:C42)</f>
        <v>4319</v>
      </c>
      <c r="D43" s="42" t="n">
        <f aca="false">SUM(D31:D42)</f>
        <v>0</v>
      </c>
      <c r="E43" s="42" t="n">
        <f aca="false">SUM(E31:E42)</f>
        <v>4319</v>
      </c>
      <c r="F43" s="42" t="n">
        <f aca="false">SUM(F31:F42)</f>
        <v>4319</v>
      </c>
      <c r="G43" s="42" t="n">
        <f aca="false">SUM(G31:G42)</f>
        <v>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true"/>
  </sheetPr>
  <dimension ref="A1:X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5" min="14" style="0" width="14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20"/>
    <col collapsed="false" customWidth="true" hidden="false" outlineLevel="0" max="19" min="19" style="0" width="26"/>
    <col collapsed="false" customWidth="true" hidden="false" outlineLevel="0" max="20" min="20" style="0" width="36"/>
    <col collapsed="false" customWidth="true" hidden="false" outlineLevel="0" max="21" min="21" style="0" width="20"/>
    <col collapsed="false" customWidth="true" hidden="false" outlineLevel="0" max="24" min="22" style="0" width="11"/>
  </cols>
  <sheetData>
    <row r="1" customFormat="false" ht="31.5" hidden="false" customHeight="true" outlineLevel="0" collapsed="false">
      <c r="A1" s="46" t="s">
        <v>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customFormat="false" ht="39.75" hidden="false" customHeight="true" outlineLevel="0" collapsed="false">
      <c r="A2" s="47" t="s">
        <v>42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customFormat="false" ht="3.75" hidden="false" customHeight="true" outlineLevel="0" collapsed="false"/>
    <row r="4" customFormat="false" ht="33.75" hidden="false" customHeight="true" outlineLevel="0" collapsed="false">
      <c r="A4" s="7" t="s">
        <v>43</v>
      </c>
      <c r="B4" s="7" t="s">
        <v>44</v>
      </c>
      <c r="C4" s="7" t="s">
        <v>45</v>
      </c>
      <c r="D4" s="7" t="s">
        <v>29</v>
      </c>
      <c r="E4" s="7" t="s">
        <v>46</v>
      </c>
      <c r="F4" s="7" t="s">
        <v>47</v>
      </c>
      <c r="G4" s="7" t="s">
        <v>48</v>
      </c>
      <c r="H4" s="7" t="s">
        <v>49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  <c r="N4" s="7" t="s">
        <v>55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  <c r="T4" s="7" t="s">
        <v>61</v>
      </c>
      <c r="U4" s="7" t="s">
        <v>62</v>
      </c>
      <c r="V4" s="48" t="s">
        <v>63</v>
      </c>
      <c r="W4" s="48" t="s">
        <v>64</v>
      </c>
      <c r="X4" s="48" t="s">
        <v>65</v>
      </c>
    </row>
    <row r="5" customFormat="false" ht="15" hidden="false" customHeight="false" outlineLevel="0" collapsed="false">
      <c r="A5" s="49" t="n">
        <f aca="false">IF(B5="","",ROW()-4)</f>
        <v>1</v>
      </c>
      <c r="B5" s="50" t="s">
        <v>66</v>
      </c>
      <c r="C5" s="50"/>
      <c r="D5" s="50" t="s">
        <v>67</v>
      </c>
      <c r="E5" s="51" t="s">
        <v>68</v>
      </c>
      <c r="F5" s="51" t="s">
        <v>69</v>
      </c>
      <c r="G5" s="51"/>
      <c r="H5" s="52" t="n">
        <v>46296</v>
      </c>
      <c r="I5" s="53" t="n">
        <v>46305</v>
      </c>
      <c r="J5" s="54" t="n">
        <v>4319</v>
      </c>
      <c r="K5" s="53"/>
      <c r="L5" s="54"/>
      <c r="M5" s="55" t="str">
        <f aca="false">IF(L5="","",L5-J5)</f>
        <v/>
      </c>
      <c r="N5" s="56" t="str">
        <f aca="true">IF(I5="","",IF(K5&lt;&gt;"","PAGO",IF(I5&lt;TODAY(),"VENCIDO",IF(I5=TODAY(),"VENCE HOJE","A VENCER"))))</f>
        <v>A VENCER</v>
      </c>
      <c r="O5" s="57" t="n">
        <f aca="true">IF(OR(I5="",K5&lt;&gt;""),"",I5-TODAY())</f>
        <v>9</v>
      </c>
      <c r="P5" s="51"/>
      <c r="Q5" s="51"/>
      <c r="R5" s="51"/>
      <c r="S5" s="50"/>
      <c r="T5" s="50"/>
      <c r="U5" s="52"/>
      <c r="V5" s="58" t="n">
        <f aca="false">IF(OR(B5="",I5="",F5="",F5=Cadastros!$E$4,F5=Cadastros!$E$9),999999,IF(COUNTIFS($B$5:$B$504,B5,$I$5:$I$504,"&gt;"&amp;I5)=0,YEAR(I5)*12+MONTH(I5),999999))</f>
        <v>24322</v>
      </c>
      <c r="W5" s="58" t="n">
        <f aca="false">IF(U5="",999999,YEAR(U5)*12+MONTH(U5))</f>
        <v>999999</v>
      </c>
      <c r="X5" s="58" t="n">
        <f aca="false">IF(F5=Cadastros!$E$6,3,IF(F5=Cadastros!$E$7,6,IF(F5=Cadastros!$E$8,12,1)))</f>
        <v>1</v>
      </c>
    </row>
    <row r="6" customFormat="false" ht="15" hidden="false" customHeight="false" outlineLevel="0" collapsed="false">
      <c r="A6" s="49" t="str">
        <f aca="false">IF(B6="","",ROW()-4)</f>
        <v/>
      </c>
      <c r="B6" s="50"/>
      <c r="C6" s="50"/>
      <c r="D6" s="50"/>
      <c r="E6" s="51"/>
      <c r="F6" s="51"/>
      <c r="G6" s="51"/>
      <c r="H6" s="52"/>
      <c r="I6" s="53"/>
      <c r="J6" s="54"/>
      <c r="K6" s="53"/>
      <c r="L6" s="54"/>
      <c r="M6" s="55" t="str">
        <f aca="false">IF(L6="","",L6-J6)</f>
        <v/>
      </c>
      <c r="N6" s="56" t="str">
        <f aca="true">IF(I6="","",IF(K6&lt;&gt;"","PAGO",IF(I6&lt;TODAY(),"VENCIDO",IF(I6=TODAY(),"VENCE HOJE","A VENCER"))))</f>
        <v/>
      </c>
      <c r="O6" s="57" t="str">
        <f aca="true">IF(OR(I6="",K6&lt;&gt;""),"",I6-TODAY())</f>
        <v/>
      </c>
      <c r="P6" s="51"/>
      <c r="Q6" s="51"/>
      <c r="R6" s="51"/>
      <c r="S6" s="50"/>
      <c r="T6" s="50"/>
      <c r="U6" s="52"/>
      <c r="V6" s="58" t="n">
        <f aca="false">IF(OR(B6="",I6="",F6="",F6=Cadastros!$E$4,F6=Cadastros!$E$9),999999,IF(COUNTIFS($B$5:$B$504,B6,$I$5:$I$504,"&gt;"&amp;I6)=0,YEAR(I6)*12+MONTH(I6),999999))</f>
        <v>999999</v>
      </c>
      <c r="W6" s="58" t="n">
        <f aca="false">IF(U6="",999999,YEAR(U6)*12+MONTH(U6))</f>
        <v>999999</v>
      </c>
      <c r="X6" s="58" t="n">
        <f aca="false">IF(F6=Cadastros!$E$6,3,IF(F6=Cadastros!$E$7,6,IF(F6=Cadastros!$E$8,12,1)))</f>
        <v>1</v>
      </c>
    </row>
    <row r="7" customFormat="false" ht="15" hidden="false" customHeight="false" outlineLevel="0" collapsed="false">
      <c r="A7" s="49" t="str">
        <f aca="false">IF(B7="","",ROW()-4)</f>
        <v/>
      </c>
      <c r="B7" s="50"/>
      <c r="C7" s="50"/>
      <c r="D7" s="50"/>
      <c r="E7" s="51"/>
      <c r="F7" s="51"/>
      <c r="G7" s="51"/>
      <c r="H7" s="52"/>
      <c r="I7" s="53"/>
      <c r="J7" s="54"/>
      <c r="K7" s="53"/>
      <c r="L7" s="54"/>
      <c r="M7" s="55" t="str">
        <f aca="false">IF(L7="","",L7-J7)</f>
        <v/>
      </c>
      <c r="N7" s="56" t="str">
        <f aca="true">IF(I7="","",IF(K7&lt;&gt;"","PAGO",IF(I7&lt;TODAY(),"VENCIDO",IF(I7=TODAY(),"VENCE HOJE","A VENCER"))))</f>
        <v/>
      </c>
      <c r="O7" s="57" t="str">
        <f aca="true">IF(OR(I7="",K7&lt;&gt;""),"",I7-TODAY())</f>
        <v/>
      </c>
      <c r="P7" s="51"/>
      <c r="Q7" s="51"/>
      <c r="R7" s="51"/>
      <c r="S7" s="50"/>
      <c r="T7" s="50"/>
      <c r="U7" s="52"/>
      <c r="V7" s="58" t="n">
        <f aca="false">IF(OR(B7="",I7="",F7="",F7=Cadastros!$E$4,F7=Cadastros!$E$9),999999,IF(COUNTIFS($B$5:$B$504,B7,$I$5:$I$504,"&gt;"&amp;I7)=0,YEAR(I7)*12+MONTH(I7),999999))</f>
        <v>999999</v>
      </c>
      <c r="W7" s="58" t="n">
        <f aca="false">IF(U7="",999999,YEAR(U7)*12+MONTH(U7))</f>
        <v>999999</v>
      </c>
      <c r="X7" s="58" t="n">
        <f aca="false">IF(F7=Cadastros!$E$6,3,IF(F7=Cadastros!$E$7,6,IF(F7=Cadastros!$E$8,12,1)))</f>
        <v>1</v>
      </c>
    </row>
    <row r="8" customFormat="false" ht="15" hidden="false" customHeight="false" outlineLevel="0" collapsed="false">
      <c r="A8" s="49" t="str">
        <f aca="false">IF(B8="","",ROW()-4)</f>
        <v/>
      </c>
      <c r="B8" s="50"/>
      <c r="C8" s="50"/>
      <c r="D8" s="50"/>
      <c r="E8" s="51"/>
      <c r="F8" s="51"/>
      <c r="G8" s="51"/>
      <c r="H8" s="52"/>
      <c r="I8" s="53"/>
      <c r="J8" s="54"/>
      <c r="K8" s="53"/>
      <c r="L8" s="54"/>
      <c r="M8" s="55" t="str">
        <f aca="false">IF(L8="","",L8-J8)</f>
        <v/>
      </c>
      <c r="N8" s="56" t="str">
        <f aca="true">IF(I8="","",IF(K8&lt;&gt;"","PAGO",IF(I8&lt;TODAY(),"VENCIDO",IF(I8=TODAY(),"VENCE HOJE","A VENCER"))))</f>
        <v/>
      </c>
      <c r="O8" s="57" t="str">
        <f aca="true">IF(OR(I8="",K8&lt;&gt;""),"",I8-TODAY())</f>
        <v/>
      </c>
      <c r="P8" s="51"/>
      <c r="Q8" s="51"/>
      <c r="R8" s="51"/>
      <c r="S8" s="50"/>
      <c r="T8" s="50"/>
      <c r="U8" s="52"/>
      <c r="V8" s="58" t="n">
        <f aca="false">IF(OR(B8="",I8="",F8="",F8=Cadastros!$E$4,F8=Cadastros!$E$9),999999,IF(COUNTIFS($B$5:$B$504,B8,$I$5:$I$504,"&gt;"&amp;I8)=0,YEAR(I8)*12+MONTH(I8),999999))</f>
        <v>999999</v>
      </c>
      <c r="W8" s="58" t="n">
        <f aca="false">IF(U8="",999999,YEAR(U8)*12+MONTH(U8))</f>
        <v>999999</v>
      </c>
      <c r="X8" s="58" t="n">
        <f aca="false">IF(F8=Cadastros!$E$6,3,IF(F8=Cadastros!$E$7,6,IF(F8=Cadastros!$E$8,12,1)))</f>
        <v>1</v>
      </c>
    </row>
    <row r="9" customFormat="false" ht="15" hidden="false" customHeight="false" outlineLevel="0" collapsed="false">
      <c r="A9" s="49" t="str">
        <f aca="false">IF(B9="","",ROW()-4)</f>
        <v/>
      </c>
      <c r="B9" s="50"/>
      <c r="C9" s="50"/>
      <c r="D9" s="50"/>
      <c r="E9" s="51"/>
      <c r="F9" s="51"/>
      <c r="G9" s="51"/>
      <c r="H9" s="52"/>
      <c r="I9" s="53"/>
      <c r="J9" s="54"/>
      <c r="K9" s="53"/>
      <c r="L9" s="54"/>
      <c r="M9" s="55" t="str">
        <f aca="false">IF(L9="","",L9-J9)</f>
        <v/>
      </c>
      <c r="N9" s="56" t="str">
        <f aca="true">IF(I9="","",IF(K9&lt;&gt;"","PAGO",IF(I9&lt;TODAY(),"VENCIDO",IF(I9=TODAY(),"VENCE HOJE","A VENCER"))))</f>
        <v/>
      </c>
      <c r="O9" s="57" t="str">
        <f aca="true">IF(OR(I9="",K9&lt;&gt;""),"",I9-TODAY())</f>
        <v/>
      </c>
      <c r="P9" s="51"/>
      <c r="Q9" s="51"/>
      <c r="R9" s="51"/>
      <c r="S9" s="50"/>
      <c r="T9" s="50"/>
      <c r="U9" s="52"/>
      <c r="V9" s="58" t="n">
        <f aca="false">IF(OR(B9="",I9="",F9="",F9=Cadastros!$E$4,F9=Cadastros!$E$9),999999,IF(COUNTIFS($B$5:$B$504,B9,$I$5:$I$504,"&gt;"&amp;I9)=0,YEAR(I9)*12+MONTH(I9),999999))</f>
        <v>999999</v>
      </c>
      <c r="W9" s="58" t="n">
        <f aca="false">IF(U9="",999999,YEAR(U9)*12+MONTH(U9))</f>
        <v>999999</v>
      </c>
      <c r="X9" s="58" t="n">
        <f aca="false">IF(F9=Cadastros!$E$6,3,IF(F9=Cadastros!$E$7,6,IF(F9=Cadastros!$E$8,12,1)))</f>
        <v>1</v>
      </c>
    </row>
    <row r="10" customFormat="false" ht="15" hidden="false" customHeight="false" outlineLevel="0" collapsed="false">
      <c r="A10" s="49" t="str">
        <f aca="false">IF(B10="","",ROW()-4)</f>
        <v/>
      </c>
      <c r="B10" s="50"/>
      <c r="C10" s="50"/>
      <c r="D10" s="50"/>
      <c r="E10" s="51"/>
      <c r="F10" s="51"/>
      <c r="G10" s="51"/>
      <c r="H10" s="52"/>
      <c r="I10" s="53"/>
      <c r="J10" s="54"/>
      <c r="K10" s="53"/>
      <c r="L10" s="54"/>
      <c r="M10" s="55" t="str">
        <f aca="false">IF(L10="","",L10-J10)</f>
        <v/>
      </c>
      <c r="N10" s="56" t="str">
        <f aca="true">IF(I10="","",IF(K10&lt;&gt;"","PAGO",IF(I10&lt;TODAY(),"VENCIDO",IF(I10=TODAY(),"VENCE HOJE","A VENCER"))))</f>
        <v/>
      </c>
      <c r="O10" s="57" t="str">
        <f aca="true">IF(OR(I10="",K10&lt;&gt;""),"",I10-TODAY())</f>
        <v/>
      </c>
      <c r="P10" s="51"/>
      <c r="Q10" s="51"/>
      <c r="R10" s="51"/>
      <c r="S10" s="50"/>
      <c r="T10" s="50"/>
      <c r="U10" s="52"/>
      <c r="V10" s="58" t="n">
        <f aca="false">IF(OR(B10="",I10="",F10="",F10=Cadastros!$E$4,F10=Cadastros!$E$9),999999,IF(COUNTIFS($B$5:$B$504,B10,$I$5:$I$504,"&gt;"&amp;I10)=0,YEAR(I10)*12+MONTH(I10),999999))</f>
        <v>999999</v>
      </c>
      <c r="W10" s="58" t="n">
        <f aca="false">IF(U10="",999999,YEAR(U10)*12+MONTH(U10))</f>
        <v>999999</v>
      </c>
      <c r="X10" s="58" t="n">
        <f aca="false">IF(F10=Cadastros!$E$6,3,IF(F10=Cadastros!$E$7,6,IF(F10=Cadastros!$E$8,12,1)))</f>
        <v>1</v>
      </c>
    </row>
    <row r="11" customFormat="false" ht="15" hidden="false" customHeight="false" outlineLevel="0" collapsed="false">
      <c r="A11" s="49" t="str">
        <f aca="false">IF(B11="","",ROW()-4)</f>
        <v/>
      </c>
      <c r="B11" s="50"/>
      <c r="C11" s="50"/>
      <c r="D11" s="50"/>
      <c r="E11" s="51"/>
      <c r="F11" s="51"/>
      <c r="G11" s="51"/>
      <c r="H11" s="52"/>
      <c r="I11" s="53"/>
      <c r="J11" s="54"/>
      <c r="K11" s="53"/>
      <c r="L11" s="54"/>
      <c r="M11" s="55" t="str">
        <f aca="false">IF(L11="","",L11-J11)</f>
        <v/>
      </c>
      <c r="N11" s="56" t="str">
        <f aca="true">IF(I11="","",IF(K11&lt;&gt;"","PAGO",IF(I11&lt;TODAY(),"VENCIDO",IF(I11=TODAY(),"VENCE HOJE","A VENCER"))))</f>
        <v/>
      </c>
      <c r="O11" s="57" t="str">
        <f aca="true">IF(OR(I11="",K11&lt;&gt;""),"",I11-TODAY())</f>
        <v/>
      </c>
      <c r="P11" s="51"/>
      <c r="Q11" s="51"/>
      <c r="R11" s="51"/>
      <c r="S11" s="50"/>
      <c r="T11" s="50"/>
      <c r="U11" s="52"/>
      <c r="V11" s="58" t="n">
        <f aca="false">IF(OR(B11="",I11="",F11="",F11=Cadastros!$E$4,F11=Cadastros!$E$9),999999,IF(COUNTIFS($B$5:$B$504,B11,$I$5:$I$504,"&gt;"&amp;I11)=0,YEAR(I11)*12+MONTH(I11),999999))</f>
        <v>999999</v>
      </c>
      <c r="W11" s="58" t="n">
        <f aca="false">IF(U11="",999999,YEAR(U11)*12+MONTH(U11))</f>
        <v>999999</v>
      </c>
      <c r="X11" s="58" t="n">
        <f aca="false">IF(F11=Cadastros!$E$6,3,IF(F11=Cadastros!$E$7,6,IF(F11=Cadastros!$E$8,12,1)))</f>
        <v>1</v>
      </c>
    </row>
    <row r="12" customFormat="false" ht="15" hidden="false" customHeight="false" outlineLevel="0" collapsed="false">
      <c r="A12" s="49" t="str">
        <f aca="false">IF(B12="","",ROW()-4)</f>
        <v/>
      </c>
      <c r="B12" s="50"/>
      <c r="C12" s="50"/>
      <c r="D12" s="50"/>
      <c r="E12" s="51"/>
      <c r="F12" s="51"/>
      <c r="G12" s="51"/>
      <c r="H12" s="52"/>
      <c r="I12" s="53"/>
      <c r="J12" s="54"/>
      <c r="K12" s="53"/>
      <c r="L12" s="54"/>
      <c r="M12" s="55" t="str">
        <f aca="false">IF(L12="","",L12-J12)</f>
        <v/>
      </c>
      <c r="N12" s="56" t="str">
        <f aca="true">IF(I12="","",IF(K12&lt;&gt;"","PAGO",IF(I12&lt;TODAY(),"VENCIDO",IF(I12=TODAY(),"VENCE HOJE","A VENCER"))))</f>
        <v/>
      </c>
      <c r="O12" s="57" t="str">
        <f aca="true">IF(OR(I12="",K12&lt;&gt;""),"",I12-TODAY())</f>
        <v/>
      </c>
      <c r="P12" s="51"/>
      <c r="Q12" s="51"/>
      <c r="R12" s="51"/>
      <c r="S12" s="50"/>
      <c r="T12" s="50"/>
      <c r="U12" s="52"/>
      <c r="V12" s="58" t="n">
        <f aca="false">IF(OR(B12="",I12="",F12="",F12=Cadastros!$E$4,F12=Cadastros!$E$9),999999,IF(COUNTIFS($B$5:$B$504,B12,$I$5:$I$504,"&gt;"&amp;I12)=0,YEAR(I12)*12+MONTH(I12),999999))</f>
        <v>999999</v>
      </c>
      <c r="W12" s="58" t="n">
        <f aca="false">IF(U12="",999999,YEAR(U12)*12+MONTH(U12))</f>
        <v>999999</v>
      </c>
      <c r="X12" s="58" t="n">
        <f aca="false">IF(F12=Cadastros!$E$6,3,IF(F12=Cadastros!$E$7,6,IF(F12=Cadastros!$E$8,12,1)))</f>
        <v>1</v>
      </c>
    </row>
    <row r="13" customFormat="false" ht="15" hidden="false" customHeight="false" outlineLevel="0" collapsed="false">
      <c r="A13" s="49" t="str">
        <f aca="false">IF(B13="","",ROW()-4)</f>
        <v/>
      </c>
      <c r="B13" s="50"/>
      <c r="C13" s="50"/>
      <c r="D13" s="50"/>
      <c r="E13" s="51"/>
      <c r="F13" s="51"/>
      <c r="G13" s="51"/>
      <c r="H13" s="52"/>
      <c r="I13" s="53"/>
      <c r="J13" s="54"/>
      <c r="K13" s="53"/>
      <c r="L13" s="54"/>
      <c r="M13" s="55" t="str">
        <f aca="false">IF(L13="","",L13-J13)</f>
        <v/>
      </c>
      <c r="N13" s="56" t="str">
        <f aca="true">IF(I13="","",IF(K13&lt;&gt;"","PAGO",IF(I13&lt;TODAY(),"VENCIDO",IF(I13=TODAY(),"VENCE HOJE","A VENCER"))))</f>
        <v/>
      </c>
      <c r="O13" s="57" t="str">
        <f aca="true">IF(OR(I13="",K13&lt;&gt;""),"",I13-TODAY())</f>
        <v/>
      </c>
      <c r="P13" s="51"/>
      <c r="Q13" s="51"/>
      <c r="R13" s="51"/>
      <c r="S13" s="50"/>
      <c r="T13" s="50"/>
      <c r="U13" s="52"/>
      <c r="V13" s="58" t="n">
        <f aca="false">IF(OR(B13="",I13="",F13="",F13=Cadastros!$E$4,F13=Cadastros!$E$9),999999,IF(COUNTIFS($B$5:$B$504,B13,$I$5:$I$504,"&gt;"&amp;I13)=0,YEAR(I13)*12+MONTH(I13),999999))</f>
        <v>999999</v>
      </c>
      <c r="W13" s="58" t="n">
        <f aca="false">IF(U13="",999999,YEAR(U13)*12+MONTH(U13))</f>
        <v>999999</v>
      </c>
      <c r="X13" s="58" t="n">
        <f aca="false">IF(F13=Cadastros!$E$6,3,IF(F13=Cadastros!$E$7,6,IF(F13=Cadastros!$E$8,12,1)))</f>
        <v>1</v>
      </c>
    </row>
    <row r="14" customFormat="false" ht="15" hidden="false" customHeight="false" outlineLevel="0" collapsed="false">
      <c r="A14" s="49" t="str">
        <f aca="false">IF(B14="","",ROW()-4)</f>
        <v/>
      </c>
      <c r="B14" s="50"/>
      <c r="C14" s="50"/>
      <c r="D14" s="50"/>
      <c r="E14" s="51"/>
      <c r="F14" s="51"/>
      <c r="G14" s="51"/>
      <c r="H14" s="52"/>
      <c r="I14" s="53"/>
      <c r="J14" s="54"/>
      <c r="K14" s="53"/>
      <c r="L14" s="54"/>
      <c r="M14" s="55" t="str">
        <f aca="false">IF(L14="","",L14-J14)</f>
        <v/>
      </c>
      <c r="N14" s="56" t="str">
        <f aca="true">IF(I14="","",IF(K14&lt;&gt;"","PAGO",IF(I14&lt;TODAY(),"VENCIDO",IF(I14=TODAY(),"VENCE HOJE","A VENCER"))))</f>
        <v/>
      </c>
      <c r="O14" s="57" t="str">
        <f aca="true">IF(OR(I14="",K14&lt;&gt;""),"",I14-TODAY())</f>
        <v/>
      </c>
      <c r="P14" s="51"/>
      <c r="Q14" s="51"/>
      <c r="R14" s="51"/>
      <c r="S14" s="50"/>
      <c r="T14" s="50"/>
      <c r="U14" s="52"/>
      <c r="V14" s="58" t="n">
        <f aca="false">IF(OR(B14="",I14="",F14="",F14=Cadastros!$E$4,F14=Cadastros!$E$9),999999,IF(COUNTIFS($B$5:$B$504,B14,$I$5:$I$504,"&gt;"&amp;I14)=0,YEAR(I14)*12+MONTH(I14),999999))</f>
        <v>999999</v>
      </c>
      <c r="W14" s="58" t="n">
        <f aca="false">IF(U14="",999999,YEAR(U14)*12+MONTH(U14))</f>
        <v>999999</v>
      </c>
      <c r="X14" s="58" t="n">
        <f aca="false">IF(F14=Cadastros!$E$6,3,IF(F14=Cadastros!$E$7,6,IF(F14=Cadastros!$E$8,12,1)))</f>
        <v>1</v>
      </c>
    </row>
    <row r="15" customFormat="false" ht="15" hidden="false" customHeight="false" outlineLevel="0" collapsed="false">
      <c r="A15" s="49" t="str">
        <f aca="false">IF(B15="","",ROW()-4)</f>
        <v/>
      </c>
      <c r="B15" s="50"/>
      <c r="C15" s="50"/>
      <c r="D15" s="50"/>
      <c r="E15" s="51"/>
      <c r="F15" s="51"/>
      <c r="G15" s="51"/>
      <c r="H15" s="52"/>
      <c r="I15" s="53"/>
      <c r="J15" s="54"/>
      <c r="K15" s="53"/>
      <c r="L15" s="54"/>
      <c r="M15" s="55" t="str">
        <f aca="false">IF(L15="","",L15-J15)</f>
        <v/>
      </c>
      <c r="N15" s="56" t="str">
        <f aca="true">IF(I15="","",IF(K15&lt;&gt;"","PAGO",IF(I15&lt;TODAY(),"VENCIDO",IF(I15=TODAY(),"VENCE HOJE","A VENCER"))))</f>
        <v/>
      </c>
      <c r="O15" s="57" t="str">
        <f aca="true">IF(OR(I15="",K15&lt;&gt;""),"",I15-TODAY())</f>
        <v/>
      </c>
      <c r="P15" s="51"/>
      <c r="Q15" s="51"/>
      <c r="R15" s="51"/>
      <c r="S15" s="50"/>
      <c r="T15" s="50"/>
      <c r="U15" s="52"/>
      <c r="V15" s="58" t="n">
        <f aca="false">IF(OR(B15="",I15="",F15="",F15=Cadastros!$E$4,F15=Cadastros!$E$9),999999,IF(COUNTIFS($B$5:$B$504,B15,$I$5:$I$504,"&gt;"&amp;I15)=0,YEAR(I15)*12+MONTH(I15),999999))</f>
        <v>999999</v>
      </c>
      <c r="W15" s="58" t="n">
        <f aca="false">IF(U15="",999999,YEAR(U15)*12+MONTH(U15))</f>
        <v>999999</v>
      </c>
      <c r="X15" s="58" t="n">
        <f aca="false">IF(F15=Cadastros!$E$6,3,IF(F15=Cadastros!$E$7,6,IF(F15=Cadastros!$E$8,12,1)))</f>
        <v>1</v>
      </c>
    </row>
    <row r="16" customFormat="false" ht="15" hidden="false" customHeight="false" outlineLevel="0" collapsed="false">
      <c r="A16" s="49" t="str">
        <f aca="false">IF(B16="","",ROW()-4)</f>
        <v/>
      </c>
      <c r="B16" s="50"/>
      <c r="C16" s="50"/>
      <c r="D16" s="50"/>
      <c r="E16" s="51"/>
      <c r="F16" s="51"/>
      <c r="G16" s="51"/>
      <c r="H16" s="52"/>
      <c r="I16" s="53"/>
      <c r="J16" s="54"/>
      <c r="K16" s="53"/>
      <c r="L16" s="54"/>
      <c r="M16" s="55" t="str">
        <f aca="false">IF(L16="","",L16-J16)</f>
        <v/>
      </c>
      <c r="N16" s="56" t="str">
        <f aca="true">IF(I16="","",IF(K16&lt;&gt;"","PAGO",IF(I16&lt;TODAY(),"VENCIDO",IF(I16=TODAY(),"VENCE HOJE","A VENCER"))))</f>
        <v/>
      </c>
      <c r="O16" s="57" t="str">
        <f aca="true">IF(OR(I16="",K16&lt;&gt;""),"",I16-TODAY())</f>
        <v/>
      </c>
      <c r="P16" s="51"/>
      <c r="Q16" s="51"/>
      <c r="R16" s="51"/>
      <c r="S16" s="50"/>
      <c r="T16" s="50"/>
      <c r="U16" s="52"/>
      <c r="V16" s="58" t="n">
        <f aca="false">IF(OR(B16="",I16="",F16="",F16=Cadastros!$E$4,F16=Cadastros!$E$9),999999,IF(COUNTIFS($B$5:$B$504,B16,$I$5:$I$504,"&gt;"&amp;I16)=0,YEAR(I16)*12+MONTH(I16),999999))</f>
        <v>999999</v>
      </c>
      <c r="W16" s="58" t="n">
        <f aca="false">IF(U16="",999999,YEAR(U16)*12+MONTH(U16))</f>
        <v>999999</v>
      </c>
      <c r="X16" s="58" t="n">
        <f aca="false">IF(F16=Cadastros!$E$6,3,IF(F16=Cadastros!$E$7,6,IF(F16=Cadastros!$E$8,12,1)))</f>
        <v>1</v>
      </c>
    </row>
    <row r="17" customFormat="false" ht="15" hidden="false" customHeight="false" outlineLevel="0" collapsed="false">
      <c r="A17" s="49" t="str">
        <f aca="false">IF(B17="","",ROW()-4)</f>
        <v/>
      </c>
      <c r="B17" s="50"/>
      <c r="C17" s="50"/>
      <c r="D17" s="50"/>
      <c r="E17" s="51"/>
      <c r="F17" s="51"/>
      <c r="G17" s="51"/>
      <c r="H17" s="52"/>
      <c r="I17" s="53"/>
      <c r="J17" s="54"/>
      <c r="K17" s="53"/>
      <c r="L17" s="54"/>
      <c r="M17" s="55" t="str">
        <f aca="false">IF(L17="","",L17-J17)</f>
        <v/>
      </c>
      <c r="N17" s="56" t="str">
        <f aca="true">IF(I17="","",IF(K17&lt;&gt;"","PAGO",IF(I17&lt;TODAY(),"VENCIDO",IF(I17=TODAY(),"VENCE HOJE","A VENCER"))))</f>
        <v/>
      </c>
      <c r="O17" s="57" t="str">
        <f aca="true">IF(OR(I17="",K17&lt;&gt;""),"",I17-TODAY())</f>
        <v/>
      </c>
      <c r="P17" s="51"/>
      <c r="Q17" s="51"/>
      <c r="R17" s="51"/>
      <c r="S17" s="50"/>
      <c r="T17" s="50"/>
      <c r="U17" s="52"/>
      <c r="V17" s="58" t="n">
        <f aca="false">IF(OR(B17="",I17="",F17="",F17=Cadastros!$E$4,F17=Cadastros!$E$9),999999,IF(COUNTIFS($B$5:$B$504,B17,$I$5:$I$504,"&gt;"&amp;I17)=0,YEAR(I17)*12+MONTH(I17),999999))</f>
        <v>999999</v>
      </c>
      <c r="W17" s="58" t="n">
        <f aca="false">IF(U17="",999999,YEAR(U17)*12+MONTH(U17))</f>
        <v>999999</v>
      </c>
      <c r="X17" s="58" t="n">
        <f aca="false">IF(F17=Cadastros!$E$6,3,IF(F17=Cadastros!$E$7,6,IF(F17=Cadastros!$E$8,12,1)))</f>
        <v>1</v>
      </c>
    </row>
    <row r="18" customFormat="false" ht="15" hidden="false" customHeight="false" outlineLevel="0" collapsed="false">
      <c r="A18" s="49" t="str">
        <f aca="false">IF(B18="","",ROW()-4)</f>
        <v/>
      </c>
      <c r="B18" s="50"/>
      <c r="C18" s="50"/>
      <c r="D18" s="50"/>
      <c r="E18" s="51"/>
      <c r="F18" s="51"/>
      <c r="G18" s="51"/>
      <c r="H18" s="52"/>
      <c r="I18" s="53"/>
      <c r="J18" s="54"/>
      <c r="K18" s="53"/>
      <c r="L18" s="54"/>
      <c r="M18" s="55" t="str">
        <f aca="false">IF(L18="","",L18-J18)</f>
        <v/>
      </c>
      <c r="N18" s="56" t="str">
        <f aca="true">IF(I18="","",IF(K18&lt;&gt;"","PAGO",IF(I18&lt;TODAY(),"VENCIDO",IF(I18=TODAY(),"VENCE HOJE","A VENCER"))))</f>
        <v/>
      </c>
      <c r="O18" s="57" t="str">
        <f aca="true">IF(OR(I18="",K18&lt;&gt;""),"",I18-TODAY())</f>
        <v/>
      </c>
      <c r="P18" s="51"/>
      <c r="Q18" s="51"/>
      <c r="R18" s="51"/>
      <c r="S18" s="50"/>
      <c r="T18" s="50"/>
      <c r="U18" s="52"/>
      <c r="V18" s="58" t="n">
        <f aca="false">IF(OR(B18="",I18="",F18="",F18=Cadastros!$E$4,F18=Cadastros!$E$9),999999,IF(COUNTIFS($B$5:$B$504,B18,$I$5:$I$504,"&gt;"&amp;I18)=0,YEAR(I18)*12+MONTH(I18),999999))</f>
        <v>999999</v>
      </c>
      <c r="W18" s="58" t="n">
        <f aca="false">IF(U18="",999999,YEAR(U18)*12+MONTH(U18))</f>
        <v>999999</v>
      </c>
      <c r="X18" s="58" t="n">
        <f aca="false">IF(F18=Cadastros!$E$6,3,IF(F18=Cadastros!$E$7,6,IF(F18=Cadastros!$E$8,12,1)))</f>
        <v>1</v>
      </c>
    </row>
    <row r="19" customFormat="false" ht="15" hidden="false" customHeight="false" outlineLevel="0" collapsed="false">
      <c r="A19" s="49" t="str">
        <f aca="false">IF(B19="","",ROW()-4)</f>
        <v/>
      </c>
      <c r="B19" s="50"/>
      <c r="C19" s="50"/>
      <c r="D19" s="50"/>
      <c r="E19" s="51"/>
      <c r="F19" s="51"/>
      <c r="G19" s="51"/>
      <c r="H19" s="52"/>
      <c r="I19" s="53"/>
      <c r="J19" s="54"/>
      <c r="K19" s="53"/>
      <c r="L19" s="54"/>
      <c r="M19" s="55" t="str">
        <f aca="false">IF(L19="","",L19-J19)</f>
        <v/>
      </c>
      <c r="N19" s="56" t="str">
        <f aca="true">IF(I19="","",IF(K19&lt;&gt;"","PAGO",IF(I19&lt;TODAY(),"VENCIDO",IF(I19=TODAY(),"VENCE HOJE","A VENCER"))))</f>
        <v/>
      </c>
      <c r="O19" s="57" t="str">
        <f aca="true">IF(OR(I19="",K19&lt;&gt;""),"",I19-TODAY())</f>
        <v/>
      </c>
      <c r="P19" s="51"/>
      <c r="Q19" s="51"/>
      <c r="R19" s="51"/>
      <c r="S19" s="50"/>
      <c r="T19" s="50"/>
      <c r="U19" s="52"/>
      <c r="V19" s="58" t="n">
        <f aca="false">IF(OR(B19="",I19="",F19="",F19=Cadastros!$E$4,F19=Cadastros!$E$9),999999,IF(COUNTIFS($B$5:$B$504,B19,$I$5:$I$504,"&gt;"&amp;I19)=0,YEAR(I19)*12+MONTH(I19),999999))</f>
        <v>999999</v>
      </c>
      <c r="W19" s="58" t="n">
        <f aca="false">IF(U19="",999999,YEAR(U19)*12+MONTH(U19))</f>
        <v>999999</v>
      </c>
      <c r="X19" s="58" t="n">
        <f aca="false">IF(F19=Cadastros!$E$6,3,IF(F19=Cadastros!$E$7,6,IF(F19=Cadastros!$E$8,12,1)))</f>
        <v>1</v>
      </c>
    </row>
    <row r="20" customFormat="false" ht="15" hidden="false" customHeight="false" outlineLevel="0" collapsed="false">
      <c r="A20" s="49" t="str">
        <f aca="false">IF(B20="","",ROW()-4)</f>
        <v/>
      </c>
      <c r="B20" s="50"/>
      <c r="C20" s="50"/>
      <c r="D20" s="50"/>
      <c r="E20" s="51"/>
      <c r="F20" s="51"/>
      <c r="G20" s="51"/>
      <c r="H20" s="52"/>
      <c r="I20" s="53"/>
      <c r="J20" s="54"/>
      <c r="K20" s="53"/>
      <c r="L20" s="54"/>
      <c r="M20" s="55" t="str">
        <f aca="false">IF(L20="","",L20-J20)</f>
        <v/>
      </c>
      <c r="N20" s="56" t="str">
        <f aca="true">IF(I20="","",IF(K20&lt;&gt;"","PAGO",IF(I20&lt;TODAY(),"VENCIDO",IF(I20=TODAY(),"VENCE HOJE","A VENCER"))))</f>
        <v/>
      </c>
      <c r="O20" s="57" t="str">
        <f aca="true">IF(OR(I20="",K20&lt;&gt;""),"",I20-TODAY())</f>
        <v/>
      </c>
      <c r="P20" s="51"/>
      <c r="Q20" s="51"/>
      <c r="R20" s="51"/>
      <c r="S20" s="50"/>
      <c r="T20" s="50"/>
      <c r="U20" s="52"/>
      <c r="V20" s="58" t="n">
        <f aca="false">IF(OR(B20="",I20="",F20="",F20=Cadastros!$E$4,F20=Cadastros!$E$9),999999,IF(COUNTIFS($B$5:$B$504,B20,$I$5:$I$504,"&gt;"&amp;I20)=0,YEAR(I20)*12+MONTH(I20),999999))</f>
        <v>999999</v>
      </c>
      <c r="W20" s="58" t="n">
        <f aca="false">IF(U20="",999999,YEAR(U20)*12+MONTH(U20))</f>
        <v>999999</v>
      </c>
      <c r="X20" s="58" t="n">
        <f aca="false">IF(F20=Cadastros!$E$6,3,IF(F20=Cadastros!$E$7,6,IF(F20=Cadastros!$E$8,12,1)))</f>
        <v>1</v>
      </c>
    </row>
    <row r="21" customFormat="false" ht="15" hidden="false" customHeight="false" outlineLevel="0" collapsed="false">
      <c r="A21" s="49" t="str">
        <f aca="false">IF(B21="","",ROW()-4)</f>
        <v/>
      </c>
      <c r="B21" s="50"/>
      <c r="C21" s="50"/>
      <c r="D21" s="50"/>
      <c r="E21" s="51"/>
      <c r="F21" s="51"/>
      <c r="G21" s="51"/>
      <c r="H21" s="52"/>
      <c r="I21" s="53"/>
      <c r="J21" s="54"/>
      <c r="K21" s="53"/>
      <c r="L21" s="54"/>
      <c r="M21" s="55" t="str">
        <f aca="false">IF(L21="","",L21-J21)</f>
        <v/>
      </c>
      <c r="N21" s="56" t="str">
        <f aca="true">IF(I21="","",IF(K21&lt;&gt;"","PAGO",IF(I21&lt;TODAY(),"VENCIDO",IF(I21=TODAY(),"VENCE HOJE","A VENCER"))))</f>
        <v/>
      </c>
      <c r="O21" s="57" t="str">
        <f aca="true">IF(OR(I21="",K21&lt;&gt;""),"",I21-TODAY())</f>
        <v/>
      </c>
      <c r="P21" s="51"/>
      <c r="Q21" s="51"/>
      <c r="R21" s="51"/>
      <c r="S21" s="50"/>
      <c r="T21" s="50"/>
      <c r="U21" s="52"/>
      <c r="V21" s="58" t="n">
        <f aca="false">IF(OR(B21="",I21="",F21="",F21=Cadastros!$E$4,F21=Cadastros!$E$9),999999,IF(COUNTIFS($B$5:$B$504,B21,$I$5:$I$504,"&gt;"&amp;I21)=0,YEAR(I21)*12+MONTH(I21),999999))</f>
        <v>999999</v>
      </c>
      <c r="W21" s="58" t="n">
        <f aca="false">IF(U21="",999999,YEAR(U21)*12+MONTH(U21))</f>
        <v>999999</v>
      </c>
      <c r="X21" s="58" t="n">
        <f aca="false">IF(F21=Cadastros!$E$6,3,IF(F21=Cadastros!$E$7,6,IF(F21=Cadastros!$E$8,12,1)))</f>
        <v>1</v>
      </c>
    </row>
    <row r="22" customFormat="false" ht="15" hidden="false" customHeight="false" outlineLevel="0" collapsed="false">
      <c r="A22" s="49" t="str">
        <f aca="false">IF(B22="","",ROW()-4)</f>
        <v/>
      </c>
      <c r="B22" s="50"/>
      <c r="C22" s="50"/>
      <c r="D22" s="50"/>
      <c r="E22" s="51"/>
      <c r="F22" s="51"/>
      <c r="G22" s="51"/>
      <c r="H22" s="52"/>
      <c r="I22" s="53"/>
      <c r="J22" s="54"/>
      <c r="K22" s="53"/>
      <c r="L22" s="54"/>
      <c r="M22" s="55" t="str">
        <f aca="false">IF(L22="","",L22-J22)</f>
        <v/>
      </c>
      <c r="N22" s="56" t="str">
        <f aca="true">IF(I22="","",IF(K22&lt;&gt;"","PAGO",IF(I22&lt;TODAY(),"VENCIDO",IF(I22=TODAY(),"VENCE HOJE","A VENCER"))))</f>
        <v/>
      </c>
      <c r="O22" s="57" t="str">
        <f aca="true">IF(OR(I22="",K22&lt;&gt;""),"",I22-TODAY())</f>
        <v/>
      </c>
      <c r="P22" s="51"/>
      <c r="Q22" s="51"/>
      <c r="R22" s="51"/>
      <c r="S22" s="50"/>
      <c r="T22" s="50"/>
      <c r="U22" s="52"/>
      <c r="V22" s="58" t="n">
        <f aca="false">IF(OR(B22="",I22="",F22="",F22=Cadastros!$E$4,F22=Cadastros!$E$9),999999,IF(COUNTIFS($B$5:$B$504,B22,$I$5:$I$504,"&gt;"&amp;I22)=0,YEAR(I22)*12+MONTH(I22),999999))</f>
        <v>999999</v>
      </c>
      <c r="W22" s="58" t="n">
        <f aca="false">IF(U22="",999999,YEAR(U22)*12+MONTH(U22))</f>
        <v>999999</v>
      </c>
      <c r="X22" s="58" t="n">
        <f aca="false">IF(F22=Cadastros!$E$6,3,IF(F22=Cadastros!$E$7,6,IF(F22=Cadastros!$E$8,12,1)))</f>
        <v>1</v>
      </c>
    </row>
    <row r="23" customFormat="false" ht="15" hidden="false" customHeight="false" outlineLevel="0" collapsed="false">
      <c r="A23" s="49" t="str">
        <f aca="false">IF(B23="","",ROW()-4)</f>
        <v/>
      </c>
      <c r="B23" s="50"/>
      <c r="C23" s="50"/>
      <c r="D23" s="50"/>
      <c r="E23" s="51"/>
      <c r="F23" s="51"/>
      <c r="G23" s="51"/>
      <c r="H23" s="52"/>
      <c r="I23" s="53"/>
      <c r="J23" s="54"/>
      <c r="K23" s="53"/>
      <c r="L23" s="54"/>
      <c r="M23" s="55" t="str">
        <f aca="false">IF(L23="","",L23-J23)</f>
        <v/>
      </c>
      <c r="N23" s="56" t="str">
        <f aca="true">IF(I23="","",IF(K23&lt;&gt;"","PAGO",IF(I23&lt;TODAY(),"VENCIDO",IF(I23=TODAY(),"VENCE HOJE","A VENCER"))))</f>
        <v/>
      </c>
      <c r="O23" s="57" t="str">
        <f aca="true">IF(OR(I23="",K23&lt;&gt;""),"",I23-TODAY())</f>
        <v/>
      </c>
      <c r="P23" s="51"/>
      <c r="Q23" s="51"/>
      <c r="R23" s="51"/>
      <c r="S23" s="50"/>
      <c r="T23" s="50"/>
      <c r="U23" s="52"/>
      <c r="V23" s="58" t="n">
        <f aca="false">IF(OR(B23="",I23="",F23="",F23=Cadastros!$E$4,F23=Cadastros!$E$9),999999,IF(COUNTIFS($B$5:$B$504,B23,$I$5:$I$504,"&gt;"&amp;I23)=0,YEAR(I23)*12+MONTH(I23),999999))</f>
        <v>999999</v>
      </c>
      <c r="W23" s="58" t="n">
        <f aca="false">IF(U23="",999999,YEAR(U23)*12+MONTH(U23))</f>
        <v>999999</v>
      </c>
      <c r="X23" s="58" t="n">
        <f aca="false">IF(F23=Cadastros!$E$6,3,IF(F23=Cadastros!$E$7,6,IF(F23=Cadastros!$E$8,12,1)))</f>
        <v>1</v>
      </c>
    </row>
    <row r="24" customFormat="false" ht="15" hidden="false" customHeight="false" outlineLevel="0" collapsed="false">
      <c r="A24" s="49" t="str">
        <f aca="false">IF(B24="","",ROW()-4)</f>
        <v/>
      </c>
      <c r="B24" s="50"/>
      <c r="C24" s="50"/>
      <c r="D24" s="50"/>
      <c r="E24" s="51"/>
      <c r="F24" s="51"/>
      <c r="G24" s="51"/>
      <c r="H24" s="52"/>
      <c r="I24" s="53"/>
      <c r="J24" s="54"/>
      <c r="K24" s="53"/>
      <c r="L24" s="54"/>
      <c r="M24" s="55" t="str">
        <f aca="false">IF(L24="","",L24-J24)</f>
        <v/>
      </c>
      <c r="N24" s="56" t="str">
        <f aca="true">IF(I24="","",IF(K24&lt;&gt;"","PAGO",IF(I24&lt;TODAY(),"VENCIDO",IF(I24=TODAY(),"VENCE HOJE","A VENCER"))))</f>
        <v/>
      </c>
      <c r="O24" s="57" t="str">
        <f aca="true">IF(OR(I24="",K24&lt;&gt;""),"",I24-TODAY())</f>
        <v/>
      </c>
      <c r="P24" s="51"/>
      <c r="Q24" s="51"/>
      <c r="R24" s="51"/>
      <c r="S24" s="50"/>
      <c r="T24" s="50"/>
      <c r="U24" s="52"/>
      <c r="V24" s="58" t="n">
        <f aca="false">IF(OR(B24="",I24="",F24="",F24=Cadastros!$E$4,F24=Cadastros!$E$9),999999,IF(COUNTIFS($B$5:$B$504,B24,$I$5:$I$504,"&gt;"&amp;I24)=0,YEAR(I24)*12+MONTH(I24),999999))</f>
        <v>999999</v>
      </c>
      <c r="W24" s="58" t="n">
        <f aca="false">IF(U24="",999999,YEAR(U24)*12+MONTH(U24))</f>
        <v>999999</v>
      </c>
      <c r="X24" s="58" t="n">
        <f aca="false">IF(F24=Cadastros!$E$6,3,IF(F24=Cadastros!$E$7,6,IF(F24=Cadastros!$E$8,12,1)))</f>
        <v>1</v>
      </c>
    </row>
    <row r="25" customFormat="false" ht="15" hidden="false" customHeight="false" outlineLevel="0" collapsed="false">
      <c r="A25" s="49" t="str">
        <f aca="false">IF(B25="","",ROW()-4)</f>
        <v/>
      </c>
      <c r="B25" s="50"/>
      <c r="C25" s="50"/>
      <c r="D25" s="50"/>
      <c r="E25" s="51"/>
      <c r="F25" s="51"/>
      <c r="G25" s="51"/>
      <c r="H25" s="52"/>
      <c r="I25" s="53"/>
      <c r="J25" s="54"/>
      <c r="K25" s="53"/>
      <c r="L25" s="54"/>
      <c r="M25" s="55" t="str">
        <f aca="false">IF(L25="","",L25-J25)</f>
        <v/>
      </c>
      <c r="N25" s="56" t="str">
        <f aca="true">IF(I25="","",IF(K25&lt;&gt;"","PAGO",IF(I25&lt;TODAY(),"VENCIDO",IF(I25=TODAY(),"VENCE HOJE","A VENCER"))))</f>
        <v/>
      </c>
      <c r="O25" s="57" t="str">
        <f aca="true">IF(OR(I25="",K25&lt;&gt;""),"",I25-TODAY())</f>
        <v/>
      </c>
      <c r="P25" s="51"/>
      <c r="Q25" s="51"/>
      <c r="R25" s="51"/>
      <c r="S25" s="50"/>
      <c r="T25" s="50"/>
      <c r="U25" s="52"/>
      <c r="V25" s="58" t="n">
        <f aca="false">IF(OR(B25="",I25="",F25="",F25=Cadastros!$E$4,F25=Cadastros!$E$9),999999,IF(COUNTIFS($B$5:$B$504,B25,$I$5:$I$504,"&gt;"&amp;I25)=0,YEAR(I25)*12+MONTH(I25),999999))</f>
        <v>999999</v>
      </c>
      <c r="W25" s="58" t="n">
        <f aca="false">IF(U25="",999999,YEAR(U25)*12+MONTH(U25))</f>
        <v>999999</v>
      </c>
      <c r="X25" s="58" t="n">
        <f aca="false">IF(F25=Cadastros!$E$6,3,IF(F25=Cadastros!$E$7,6,IF(F25=Cadastros!$E$8,12,1)))</f>
        <v>1</v>
      </c>
    </row>
    <row r="26" customFormat="false" ht="15" hidden="false" customHeight="false" outlineLevel="0" collapsed="false">
      <c r="A26" s="49" t="str">
        <f aca="false">IF(B26="","",ROW()-4)</f>
        <v/>
      </c>
      <c r="B26" s="50"/>
      <c r="C26" s="50"/>
      <c r="D26" s="50"/>
      <c r="E26" s="51"/>
      <c r="F26" s="51"/>
      <c r="G26" s="51"/>
      <c r="H26" s="52"/>
      <c r="I26" s="53"/>
      <c r="J26" s="54"/>
      <c r="K26" s="53"/>
      <c r="L26" s="54"/>
      <c r="M26" s="55" t="str">
        <f aca="false">IF(L26="","",L26-J26)</f>
        <v/>
      </c>
      <c r="N26" s="56" t="str">
        <f aca="true">IF(I26="","",IF(K26&lt;&gt;"","PAGO",IF(I26&lt;TODAY(),"VENCIDO",IF(I26=TODAY(),"VENCE HOJE","A VENCER"))))</f>
        <v/>
      </c>
      <c r="O26" s="57" t="str">
        <f aca="true">IF(OR(I26="",K26&lt;&gt;""),"",I26-TODAY())</f>
        <v/>
      </c>
      <c r="P26" s="51"/>
      <c r="Q26" s="51"/>
      <c r="R26" s="51"/>
      <c r="S26" s="50"/>
      <c r="T26" s="50"/>
      <c r="U26" s="52"/>
      <c r="V26" s="58" t="n">
        <f aca="false">IF(OR(B26="",I26="",F26="",F26=Cadastros!$E$4,F26=Cadastros!$E$9),999999,IF(COUNTIFS($B$5:$B$504,B26,$I$5:$I$504,"&gt;"&amp;I26)=0,YEAR(I26)*12+MONTH(I26),999999))</f>
        <v>999999</v>
      </c>
      <c r="W26" s="58" t="n">
        <f aca="false">IF(U26="",999999,YEAR(U26)*12+MONTH(U26))</f>
        <v>999999</v>
      </c>
      <c r="X26" s="58" t="n">
        <f aca="false">IF(F26=Cadastros!$E$6,3,IF(F26=Cadastros!$E$7,6,IF(F26=Cadastros!$E$8,12,1)))</f>
        <v>1</v>
      </c>
    </row>
    <row r="27" customFormat="false" ht="15" hidden="false" customHeight="false" outlineLevel="0" collapsed="false">
      <c r="A27" s="49" t="str">
        <f aca="false">IF(B27="","",ROW()-4)</f>
        <v/>
      </c>
      <c r="B27" s="50"/>
      <c r="C27" s="50"/>
      <c r="D27" s="50"/>
      <c r="E27" s="51"/>
      <c r="F27" s="51"/>
      <c r="G27" s="51"/>
      <c r="H27" s="52"/>
      <c r="I27" s="53"/>
      <c r="J27" s="54"/>
      <c r="K27" s="53"/>
      <c r="L27" s="54"/>
      <c r="M27" s="55" t="str">
        <f aca="false">IF(L27="","",L27-J27)</f>
        <v/>
      </c>
      <c r="N27" s="56" t="str">
        <f aca="true">IF(I27="","",IF(K27&lt;&gt;"","PAGO",IF(I27&lt;TODAY(),"VENCIDO",IF(I27=TODAY(),"VENCE HOJE","A VENCER"))))</f>
        <v/>
      </c>
      <c r="O27" s="57" t="str">
        <f aca="true">IF(OR(I27="",K27&lt;&gt;""),"",I27-TODAY())</f>
        <v/>
      </c>
      <c r="P27" s="51"/>
      <c r="Q27" s="51"/>
      <c r="R27" s="51"/>
      <c r="S27" s="50"/>
      <c r="T27" s="50"/>
      <c r="U27" s="52"/>
      <c r="V27" s="58" t="n">
        <f aca="false">IF(OR(B27="",I27="",F27="",F27=Cadastros!$E$4,F27=Cadastros!$E$9),999999,IF(COUNTIFS($B$5:$B$504,B27,$I$5:$I$504,"&gt;"&amp;I27)=0,YEAR(I27)*12+MONTH(I27),999999))</f>
        <v>999999</v>
      </c>
      <c r="W27" s="58" t="n">
        <f aca="false">IF(U27="",999999,YEAR(U27)*12+MONTH(U27))</f>
        <v>999999</v>
      </c>
      <c r="X27" s="58" t="n">
        <f aca="false">IF(F27=Cadastros!$E$6,3,IF(F27=Cadastros!$E$7,6,IF(F27=Cadastros!$E$8,12,1)))</f>
        <v>1</v>
      </c>
    </row>
    <row r="28" customFormat="false" ht="15" hidden="false" customHeight="false" outlineLevel="0" collapsed="false">
      <c r="A28" s="49" t="str">
        <f aca="false">IF(B28="","",ROW()-4)</f>
        <v/>
      </c>
      <c r="B28" s="50"/>
      <c r="C28" s="50"/>
      <c r="D28" s="50"/>
      <c r="E28" s="51"/>
      <c r="F28" s="51"/>
      <c r="G28" s="51"/>
      <c r="H28" s="52"/>
      <c r="I28" s="53"/>
      <c r="J28" s="54"/>
      <c r="K28" s="53"/>
      <c r="L28" s="54"/>
      <c r="M28" s="55" t="str">
        <f aca="false">IF(L28="","",L28-J28)</f>
        <v/>
      </c>
      <c r="N28" s="56" t="str">
        <f aca="true">IF(I28="","",IF(K28&lt;&gt;"","PAGO",IF(I28&lt;TODAY(),"VENCIDO",IF(I28=TODAY(),"VENCE HOJE","A VENCER"))))</f>
        <v/>
      </c>
      <c r="O28" s="57" t="str">
        <f aca="true">IF(OR(I28="",K28&lt;&gt;""),"",I28-TODAY())</f>
        <v/>
      </c>
      <c r="P28" s="51"/>
      <c r="Q28" s="51"/>
      <c r="R28" s="51"/>
      <c r="S28" s="50"/>
      <c r="T28" s="50"/>
      <c r="U28" s="52"/>
      <c r="V28" s="58" t="n">
        <f aca="false">IF(OR(B28="",I28="",F28="",F28=Cadastros!$E$4,F28=Cadastros!$E$9),999999,IF(COUNTIFS($B$5:$B$504,B28,$I$5:$I$504,"&gt;"&amp;I28)=0,YEAR(I28)*12+MONTH(I28),999999))</f>
        <v>999999</v>
      </c>
      <c r="W28" s="58" t="n">
        <f aca="false">IF(U28="",999999,YEAR(U28)*12+MONTH(U28))</f>
        <v>999999</v>
      </c>
      <c r="X28" s="58" t="n">
        <f aca="false">IF(F28=Cadastros!$E$6,3,IF(F28=Cadastros!$E$7,6,IF(F28=Cadastros!$E$8,12,1)))</f>
        <v>1</v>
      </c>
    </row>
    <row r="29" customFormat="false" ht="15" hidden="false" customHeight="false" outlineLevel="0" collapsed="false">
      <c r="A29" s="49" t="str">
        <f aca="false">IF(B29="","",ROW()-4)</f>
        <v/>
      </c>
      <c r="B29" s="50"/>
      <c r="C29" s="50"/>
      <c r="D29" s="50"/>
      <c r="E29" s="51"/>
      <c r="F29" s="51"/>
      <c r="G29" s="51"/>
      <c r="H29" s="52"/>
      <c r="I29" s="53"/>
      <c r="J29" s="54"/>
      <c r="K29" s="53"/>
      <c r="L29" s="54"/>
      <c r="M29" s="55" t="str">
        <f aca="false">IF(L29="","",L29-J29)</f>
        <v/>
      </c>
      <c r="N29" s="56" t="str">
        <f aca="true">IF(I29="","",IF(K29&lt;&gt;"","PAGO",IF(I29&lt;TODAY(),"VENCIDO",IF(I29=TODAY(),"VENCE HOJE","A VENCER"))))</f>
        <v/>
      </c>
      <c r="O29" s="57" t="str">
        <f aca="true">IF(OR(I29="",K29&lt;&gt;""),"",I29-TODAY())</f>
        <v/>
      </c>
      <c r="P29" s="51"/>
      <c r="Q29" s="51"/>
      <c r="R29" s="51"/>
      <c r="S29" s="50"/>
      <c r="T29" s="50"/>
      <c r="U29" s="52"/>
      <c r="V29" s="58" t="n">
        <f aca="false">IF(OR(B29="",I29="",F29="",F29=Cadastros!$E$4,F29=Cadastros!$E$9),999999,IF(COUNTIFS($B$5:$B$504,B29,$I$5:$I$504,"&gt;"&amp;I29)=0,YEAR(I29)*12+MONTH(I29),999999))</f>
        <v>999999</v>
      </c>
      <c r="W29" s="58" t="n">
        <f aca="false">IF(U29="",999999,YEAR(U29)*12+MONTH(U29))</f>
        <v>999999</v>
      </c>
      <c r="X29" s="58" t="n">
        <f aca="false">IF(F29=Cadastros!$E$6,3,IF(F29=Cadastros!$E$7,6,IF(F29=Cadastros!$E$8,12,1)))</f>
        <v>1</v>
      </c>
    </row>
    <row r="30" customFormat="false" ht="15" hidden="false" customHeight="false" outlineLevel="0" collapsed="false">
      <c r="A30" s="49" t="str">
        <f aca="false">IF(B30="","",ROW()-4)</f>
        <v/>
      </c>
      <c r="B30" s="50"/>
      <c r="C30" s="50"/>
      <c r="D30" s="50"/>
      <c r="E30" s="51"/>
      <c r="F30" s="51"/>
      <c r="G30" s="51"/>
      <c r="H30" s="52"/>
      <c r="I30" s="53"/>
      <c r="J30" s="54"/>
      <c r="K30" s="53"/>
      <c r="L30" s="54"/>
      <c r="M30" s="55" t="str">
        <f aca="false">IF(L30="","",L30-J30)</f>
        <v/>
      </c>
      <c r="N30" s="56" t="str">
        <f aca="true">IF(I30="","",IF(K30&lt;&gt;"","PAGO",IF(I30&lt;TODAY(),"VENCIDO",IF(I30=TODAY(),"VENCE HOJE","A VENCER"))))</f>
        <v/>
      </c>
      <c r="O30" s="57" t="str">
        <f aca="true">IF(OR(I30="",K30&lt;&gt;""),"",I30-TODAY())</f>
        <v/>
      </c>
      <c r="P30" s="51"/>
      <c r="Q30" s="51"/>
      <c r="R30" s="51"/>
      <c r="S30" s="50"/>
      <c r="T30" s="50"/>
      <c r="U30" s="52"/>
      <c r="V30" s="58" t="n">
        <f aca="false">IF(OR(B30="",I30="",F30="",F30=Cadastros!$E$4,F30=Cadastros!$E$9),999999,IF(COUNTIFS($B$5:$B$504,B30,$I$5:$I$504,"&gt;"&amp;I30)=0,YEAR(I30)*12+MONTH(I30),999999))</f>
        <v>999999</v>
      </c>
      <c r="W30" s="58" t="n">
        <f aca="false">IF(U30="",999999,YEAR(U30)*12+MONTH(U30))</f>
        <v>999999</v>
      </c>
      <c r="X30" s="58" t="n">
        <f aca="false">IF(F30=Cadastros!$E$6,3,IF(F30=Cadastros!$E$7,6,IF(F30=Cadastros!$E$8,12,1)))</f>
        <v>1</v>
      </c>
    </row>
    <row r="31" customFormat="false" ht="15" hidden="false" customHeight="false" outlineLevel="0" collapsed="false">
      <c r="A31" s="49" t="str">
        <f aca="false">IF(B31="","",ROW()-4)</f>
        <v/>
      </c>
      <c r="B31" s="50"/>
      <c r="C31" s="50"/>
      <c r="D31" s="50"/>
      <c r="E31" s="51"/>
      <c r="F31" s="51"/>
      <c r="G31" s="51"/>
      <c r="H31" s="52"/>
      <c r="I31" s="53"/>
      <c r="J31" s="54"/>
      <c r="K31" s="53"/>
      <c r="L31" s="54"/>
      <c r="M31" s="55" t="str">
        <f aca="false">IF(L31="","",L31-J31)</f>
        <v/>
      </c>
      <c r="N31" s="56" t="str">
        <f aca="true">IF(I31="","",IF(K31&lt;&gt;"","PAGO",IF(I31&lt;TODAY(),"VENCIDO",IF(I31=TODAY(),"VENCE HOJE","A VENCER"))))</f>
        <v/>
      </c>
      <c r="O31" s="57" t="str">
        <f aca="true">IF(OR(I31="",K31&lt;&gt;""),"",I31-TODAY())</f>
        <v/>
      </c>
      <c r="P31" s="51"/>
      <c r="Q31" s="51"/>
      <c r="R31" s="51"/>
      <c r="S31" s="50"/>
      <c r="T31" s="50"/>
      <c r="U31" s="52"/>
      <c r="V31" s="58" t="n">
        <f aca="false">IF(OR(B31="",I31="",F31="",F31=Cadastros!$E$4,F31=Cadastros!$E$9),999999,IF(COUNTIFS($B$5:$B$504,B31,$I$5:$I$504,"&gt;"&amp;I31)=0,YEAR(I31)*12+MONTH(I31),999999))</f>
        <v>999999</v>
      </c>
      <c r="W31" s="58" t="n">
        <f aca="false">IF(U31="",999999,YEAR(U31)*12+MONTH(U31))</f>
        <v>999999</v>
      </c>
      <c r="X31" s="58" t="n">
        <f aca="false">IF(F31=Cadastros!$E$6,3,IF(F31=Cadastros!$E$7,6,IF(F31=Cadastros!$E$8,12,1)))</f>
        <v>1</v>
      </c>
    </row>
    <row r="32" customFormat="false" ht="15" hidden="false" customHeight="false" outlineLevel="0" collapsed="false">
      <c r="A32" s="49" t="str">
        <f aca="false">IF(B32="","",ROW()-4)</f>
        <v/>
      </c>
      <c r="B32" s="50"/>
      <c r="C32" s="50"/>
      <c r="D32" s="50"/>
      <c r="E32" s="51"/>
      <c r="F32" s="51"/>
      <c r="G32" s="51"/>
      <c r="H32" s="52"/>
      <c r="I32" s="53"/>
      <c r="J32" s="54"/>
      <c r="K32" s="53"/>
      <c r="L32" s="54"/>
      <c r="M32" s="55" t="str">
        <f aca="false">IF(L32="","",L32-J32)</f>
        <v/>
      </c>
      <c r="N32" s="56" t="str">
        <f aca="true">IF(I32="","",IF(K32&lt;&gt;"","PAGO",IF(I32&lt;TODAY(),"VENCIDO",IF(I32=TODAY(),"VENCE HOJE","A VENCER"))))</f>
        <v/>
      </c>
      <c r="O32" s="57" t="str">
        <f aca="true">IF(OR(I32="",K32&lt;&gt;""),"",I32-TODAY())</f>
        <v/>
      </c>
      <c r="P32" s="51"/>
      <c r="Q32" s="51"/>
      <c r="R32" s="51"/>
      <c r="S32" s="50"/>
      <c r="T32" s="50"/>
      <c r="U32" s="52"/>
      <c r="V32" s="58" t="n">
        <f aca="false">IF(OR(B32="",I32="",F32="",F32=Cadastros!$E$4,F32=Cadastros!$E$9),999999,IF(COUNTIFS($B$5:$B$504,B32,$I$5:$I$504,"&gt;"&amp;I32)=0,YEAR(I32)*12+MONTH(I32),999999))</f>
        <v>999999</v>
      </c>
      <c r="W32" s="58" t="n">
        <f aca="false">IF(U32="",999999,YEAR(U32)*12+MONTH(U32))</f>
        <v>999999</v>
      </c>
      <c r="X32" s="58" t="n">
        <f aca="false">IF(F32=Cadastros!$E$6,3,IF(F32=Cadastros!$E$7,6,IF(F32=Cadastros!$E$8,12,1)))</f>
        <v>1</v>
      </c>
    </row>
    <row r="33" customFormat="false" ht="15" hidden="false" customHeight="false" outlineLevel="0" collapsed="false">
      <c r="A33" s="49" t="str">
        <f aca="false">IF(B33="","",ROW()-4)</f>
        <v/>
      </c>
      <c r="B33" s="50"/>
      <c r="C33" s="50"/>
      <c r="D33" s="50"/>
      <c r="E33" s="51"/>
      <c r="F33" s="51"/>
      <c r="G33" s="51"/>
      <c r="H33" s="52"/>
      <c r="I33" s="53"/>
      <c r="J33" s="54"/>
      <c r="K33" s="53"/>
      <c r="L33" s="54"/>
      <c r="M33" s="55" t="str">
        <f aca="false">IF(L33="","",L33-J33)</f>
        <v/>
      </c>
      <c r="N33" s="56" t="str">
        <f aca="true">IF(I33="","",IF(K33&lt;&gt;"","PAGO",IF(I33&lt;TODAY(),"VENCIDO",IF(I33=TODAY(),"VENCE HOJE","A VENCER"))))</f>
        <v/>
      </c>
      <c r="O33" s="57" t="str">
        <f aca="true">IF(OR(I33="",K33&lt;&gt;""),"",I33-TODAY())</f>
        <v/>
      </c>
      <c r="P33" s="51"/>
      <c r="Q33" s="51"/>
      <c r="R33" s="51"/>
      <c r="S33" s="50"/>
      <c r="T33" s="50"/>
      <c r="U33" s="52"/>
      <c r="V33" s="58" t="n">
        <f aca="false">IF(OR(B33="",I33="",F33="",F33=Cadastros!$E$4,F33=Cadastros!$E$9),999999,IF(COUNTIFS($B$5:$B$504,B33,$I$5:$I$504,"&gt;"&amp;I33)=0,YEAR(I33)*12+MONTH(I33),999999))</f>
        <v>999999</v>
      </c>
      <c r="W33" s="58" t="n">
        <f aca="false">IF(U33="",999999,YEAR(U33)*12+MONTH(U33))</f>
        <v>999999</v>
      </c>
      <c r="X33" s="58" t="n">
        <f aca="false">IF(F33=Cadastros!$E$6,3,IF(F33=Cadastros!$E$7,6,IF(F33=Cadastros!$E$8,12,1)))</f>
        <v>1</v>
      </c>
    </row>
    <row r="34" customFormat="false" ht="15" hidden="false" customHeight="false" outlineLevel="0" collapsed="false">
      <c r="A34" s="49" t="str">
        <f aca="false">IF(B34="","",ROW()-4)</f>
        <v/>
      </c>
      <c r="B34" s="50"/>
      <c r="C34" s="50"/>
      <c r="D34" s="50"/>
      <c r="E34" s="51"/>
      <c r="F34" s="51"/>
      <c r="G34" s="51"/>
      <c r="H34" s="52"/>
      <c r="I34" s="53"/>
      <c r="J34" s="54"/>
      <c r="K34" s="53"/>
      <c r="L34" s="54"/>
      <c r="M34" s="55" t="str">
        <f aca="false">IF(L34="","",L34-J34)</f>
        <v/>
      </c>
      <c r="N34" s="56" t="str">
        <f aca="true">IF(I34="","",IF(K34&lt;&gt;"","PAGO",IF(I34&lt;TODAY(),"VENCIDO",IF(I34=TODAY(),"VENCE HOJE","A VENCER"))))</f>
        <v/>
      </c>
      <c r="O34" s="57" t="str">
        <f aca="true">IF(OR(I34="",K34&lt;&gt;""),"",I34-TODAY())</f>
        <v/>
      </c>
      <c r="P34" s="51"/>
      <c r="Q34" s="51"/>
      <c r="R34" s="51"/>
      <c r="S34" s="50"/>
      <c r="T34" s="50"/>
      <c r="U34" s="52"/>
      <c r="V34" s="58" t="n">
        <f aca="false">IF(OR(B34="",I34="",F34="",F34=Cadastros!$E$4,F34=Cadastros!$E$9),999999,IF(COUNTIFS($B$5:$B$504,B34,$I$5:$I$504,"&gt;"&amp;I34)=0,YEAR(I34)*12+MONTH(I34),999999))</f>
        <v>999999</v>
      </c>
      <c r="W34" s="58" t="n">
        <f aca="false">IF(U34="",999999,YEAR(U34)*12+MONTH(U34))</f>
        <v>999999</v>
      </c>
      <c r="X34" s="58" t="n">
        <f aca="false">IF(F34=Cadastros!$E$6,3,IF(F34=Cadastros!$E$7,6,IF(F34=Cadastros!$E$8,12,1)))</f>
        <v>1</v>
      </c>
    </row>
    <row r="35" customFormat="false" ht="15" hidden="false" customHeight="false" outlineLevel="0" collapsed="false">
      <c r="A35" s="49" t="str">
        <f aca="false">IF(B35="","",ROW()-4)</f>
        <v/>
      </c>
      <c r="B35" s="50"/>
      <c r="C35" s="50"/>
      <c r="D35" s="50"/>
      <c r="E35" s="51"/>
      <c r="F35" s="51"/>
      <c r="G35" s="51"/>
      <c r="H35" s="52"/>
      <c r="I35" s="53"/>
      <c r="J35" s="54"/>
      <c r="K35" s="53"/>
      <c r="L35" s="54"/>
      <c r="M35" s="55" t="str">
        <f aca="false">IF(L35="","",L35-J35)</f>
        <v/>
      </c>
      <c r="N35" s="56" t="str">
        <f aca="true">IF(I35="","",IF(K35&lt;&gt;"","PAGO",IF(I35&lt;TODAY(),"VENCIDO",IF(I35=TODAY(),"VENCE HOJE","A VENCER"))))</f>
        <v/>
      </c>
      <c r="O35" s="57" t="str">
        <f aca="true">IF(OR(I35="",K35&lt;&gt;""),"",I35-TODAY())</f>
        <v/>
      </c>
      <c r="P35" s="51"/>
      <c r="Q35" s="51"/>
      <c r="R35" s="51"/>
      <c r="S35" s="50"/>
      <c r="T35" s="50"/>
      <c r="U35" s="52"/>
      <c r="V35" s="58" t="n">
        <f aca="false">IF(OR(B35="",I35="",F35="",F35=Cadastros!$E$4,F35=Cadastros!$E$9),999999,IF(COUNTIFS($B$5:$B$504,B35,$I$5:$I$504,"&gt;"&amp;I35)=0,YEAR(I35)*12+MONTH(I35),999999))</f>
        <v>999999</v>
      </c>
      <c r="W35" s="58" t="n">
        <f aca="false">IF(U35="",999999,YEAR(U35)*12+MONTH(U35))</f>
        <v>999999</v>
      </c>
      <c r="X35" s="58" t="n">
        <f aca="false">IF(F35=Cadastros!$E$6,3,IF(F35=Cadastros!$E$7,6,IF(F35=Cadastros!$E$8,12,1)))</f>
        <v>1</v>
      </c>
    </row>
    <row r="36" customFormat="false" ht="15" hidden="false" customHeight="false" outlineLevel="0" collapsed="false">
      <c r="A36" s="49" t="str">
        <f aca="false">IF(B36="","",ROW()-4)</f>
        <v/>
      </c>
      <c r="B36" s="50"/>
      <c r="C36" s="50"/>
      <c r="D36" s="50"/>
      <c r="E36" s="51"/>
      <c r="F36" s="51"/>
      <c r="G36" s="51"/>
      <c r="H36" s="52"/>
      <c r="I36" s="53"/>
      <c r="J36" s="54"/>
      <c r="K36" s="53"/>
      <c r="L36" s="54"/>
      <c r="M36" s="55" t="str">
        <f aca="false">IF(L36="","",L36-J36)</f>
        <v/>
      </c>
      <c r="N36" s="56" t="str">
        <f aca="true">IF(I36="","",IF(K36&lt;&gt;"","PAGO",IF(I36&lt;TODAY(),"VENCIDO",IF(I36=TODAY(),"VENCE HOJE","A VENCER"))))</f>
        <v/>
      </c>
      <c r="O36" s="57" t="str">
        <f aca="true">IF(OR(I36="",K36&lt;&gt;""),"",I36-TODAY())</f>
        <v/>
      </c>
      <c r="P36" s="51"/>
      <c r="Q36" s="51"/>
      <c r="R36" s="51"/>
      <c r="S36" s="50"/>
      <c r="T36" s="50"/>
      <c r="U36" s="52"/>
      <c r="V36" s="58" t="n">
        <f aca="false">IF(OR(B36="",I36="",F36="",F36=Cadastros!$E$4,F36=Cadastros!$E$9),999999,IF(COUNTIFS($B$5:$B$504,B36,$I$5:$I$504,"&gt;"&amp;I36)=0,YEAR(I36)*12+MONTH(I36),999999))</f>
        <v>999999</v>
      </c>
      <c r="W36" s="58" t="n">
        <f aca="false">IF(U36="",999999,YEAR(U36)*12+MONTH(U36))</f>
        <v>999999</v>
      </c>
      <c r="X36" s="58" t="n">
        <f aca="false">IF(F36=Cadastros!$E$6,3,IF(F36=Cadastros!$E$7,6,IF(F36=Cadastros!$E$8,12,1)))</f>
        <v>1</v>
      </c>
    </row>
    <row r="37" customFormat="false" ht="15" hidden="false" customHeight="false" outlineLevel="0" collapsed="false">
      <c r="A37" s="49" t="str">
        <f aca="false">IF(B37="","",ROW()-4)</f>
        <v/>
      </c>
      <c r="B37" s="50"/>
      <c r="C37" s="50"/>
      <c r="D37" s="50"/>
      <c r="E37" s="51"/>
      <c r="F37" s="51"/>
      <c r="G37" s="51"/>
      <c r="H37" s="52"/>
      <c r="I37" s="53"/>
      <c r="J37" s="54"/>
      <c r="K37" s="53"/>
      <c r="L37" s="54"/>
      <c r="M37" s="55" t="str">
        <f aca="false">IF(L37="","",L37-J37)</f>
        <v/>
      </c>
      <c r="N37" s="56" t="str">
        <f aca="true">IF(I37="","",IF(K37&lt;&gt;"","PAGO",IF(I37&lt;TODAY(),"VENCIDO",IF(I37=TODAY(),"VENCE HOJE","A VENCER"))))</f>
        <v/>
      </c>
      <c r="O37" s="57" t="str">
        <f aca="true">IF(OR(I37="",K37&lt;&gt;""),"",I37-TODAY())</f>
        <v/>
      </c>
      <c r="P37" s="51"/>
      <c r="Q37" s="51"/>
      <c r="R37" s="51"/>
      <c r="S37" s="50"/>
      <c r="T37" s="50"/>
      <c r="U37" s="52"/>
      <c r="V37" s="58" t="n">
        <f aca="false">IF(OR(B37="",I37="",F37="",F37=Cadastros!$E$4,F37=Cadastros!$E$9),999999,IF(COUNTIFS($B$5:$B$504,B37,$I$5:$I$504,"&gt;"&amp;I37)=0,YEAR(I37)*12+MONTH(I37),999999))</f>
        <v>999999</v>
      </c>
      <c r="W37" s="58" t="n">
        <f aca="false">IF(U37="",999999,YEAR(U37)*12+MONTH(U37))</f>
        <v>999999</v>
      </c>
      <c r="X37" s="58" t="n">
        <f aca="false">IF(F37=Cadastros!$E$6,3,IF(F37=Cadastros!$E$7,6,IF(F37=Cadastros!$E$8,12,1)))</f>
        <v>1</v>
      </c>
    </row>
    <row r="38" customFormat="false" ht="15" hidden="false" customHeight="false" outlineLevel="0" collapsed="false">
      <c r="A38" s="49" t="str">
        <f aca="false">IF(B38="","",ROW()-4)</f>
        <v/>
      </c>
      <c r="B38" s="50"/>
      <c r="C38" s="50"/>
      <c r="D38" s="50"/>
      <c r="E38" s="51"/>
      <c r="F38" s="51"/>
      <c r="G38" s="51"/>
      <c r="H38" s="52"/>
      <c r="I38" s="53"/>
      <c r="J38" s="54"/>
      <c r="K38" s="53"/>
      <c r="L38" s="54"/>
      <c r="M38" s="55" t="str">
        <f aca="false">IF(L38="","",L38-J38)</f>
        <v/>
      </c>
      <c r="N38" s="56" t="str">
        <f aca="true">IF(I38="","",IF(K38&lt;&gt;"","PAGO",IF(I38&lt;TODAY(),"VENCIDO",IF(I38=TODAY(),"VENCE HOJE","A VENCER"))))</f>
        <v/>
      </c>
      <c r="O38" s="57" t="str">
        <f aca="true">IF(OR(I38="",K38&lt;&gt;""),"",I38-TODAY())</f>
        <v/>
      </c>
      <c r="P38" s="51"/>
      <c r="Q38" s="51"/>
      <c r="R38" s="51"/>
      <c r="S38" s="50"/>
      <c r="T38" s="50"/>
      <c r="U38" s="52"/>
      <c r="V38" s="58" t="n">
        <f aca="false">IF(OR(B38="",I38="",F38="",F38=Cadastros!$E$4,F38=Cadastros!$E$9),999999,IF(COUNTIFS($B$5:$B$504,B38,$I$5:$I$504,"&gt;"&amp;I38)=0,YEAR(I38)*12+MONTH(I38),999999))</f>
        <v>999999</v>
      </c>
      <c r="W38" s="58" t="n">
        <f aca="false">IF(U38="",999999,YEAR(U38)*12+MONTH(U38))</f>
        <v>999999</v>
      </c>
      <c r="X38" s="58" t="n">
        <f aca="false">IF(F38=Cadastros!$E$6,3,IF(F38=Cadastros!$E$7,6,IF(F38=Cadastros!$E$8,12,1)))</f>
        <v>1</v>
      </c>
    </row>
    <row r="39" customFormat="false" ht="15" hidden="false" customHeight="false" outlineLevel="0" collapsed="false">
      <c r="A39" s="49" t="str">
        <f aca="false">IF(B39="","",ROW()-4)</f>
        <v/>
      </c>
      <c r="B39" s="50"/>
      <c r="C39" s="50"/>
      <c r="D39" s="50"/>
      <c r="E39" s="51"/>
      <c r="F39" s="51"/>
      <c r="G39" s="51"/>
      <c r="H39" s="52"/>
      <c r="I39" s="53"/>
      <c r="J39" s="54"/>
      <c r="K39" s="53"/>
      <c r="L39" s="54"/>
      <c r="M39" s="55" t="str">
        <f aca="false">IF(L39="","",L39-J39)</f>
        <v/>
      </c>
      <c r="N39" s="56" t="str">
        <f aca="true">IF(I39="","",IF(K39&lt;&gt;"","PAGO",IF(I39&lt;TODAY(),"VENCIDO",IF(I39=TODAY(),"VENCE HOJE","A VENCER"))))</f>
        <v/>
      </c>
      <c r="O39" s="57" t="str">
        <f aca="true">IF(OR(I39="",K39&lt;&gt;""),"",I39-TODAY())</f>
        <v/>
      </c>
      <c r="P39" s="51"/>
      <c r="Q39" s="51"/>
      <c r="R39" s="51"/>
      <c r="S39" s="50"/>
      <c r="T39" s="50"/>
      <c r="U39" s="52"/>
      <c r="V39" s="58" t="n">
        <f aca="false">IF(OR(B39="",I39="",F39="",F39=Cadastros!$E$4,F39=Cadastros!$E$9),999999,IF(COUNTIFS($B$5:$B$504,B39,$I$5:$I$504,"&gt;"&amp;I39)=0,YEAR(I39)*12+MONTH(I39),999999))</f>
        <v>999999</v>
      </c>
      <c r="W39" s="58" t="n">
        <f aca="false">IF(U39="",999999,YEAR(U39)*12+MONTH(U39))</f>
        <v>999999</v>
      </c>
      <c r="X39" s="58" t="n">
        <f aca="false">IF(F39=Cadastros!$E$6,3,IF(F39=Cadastros!$E$7,6,IF(F39=Cadastros!$E$8,12,1)))</f>
        <v>1</v>
      </c>
    </row>
    <row r="40" customFormat="false" ht="15" hidden="false" customHeight="false" outlineLevel="0" collapsed="false">
      <c r="A40" s="49" t="str">
        <f aca="false">IF(B40="","",ROW()-4)</f>
        <v/>
      </c>
      <c r="B40" s="50"/>
      <c r="C40" s="50"/>
      <c r="D40" s="50"/>
      <c r="E40" s="51"/>
      <c r="F40" s="51"/>
      <c r="G40" s="51"/>
      <c r="H40" s="52"/>
      <c r="I40" s="53"/>
      <c r="J40" s="54"/>
      <c r="K40" s="53"/>
      <c r="L40" s="54"/>
      <c r="M40" s="55" t="str">
        <f aca="false">IF(L40="","",L40-J40)</f>
        <v/>
      </c>
      <c r="N40" s="56" t="str">
        <f aca="true">IF(I40="","",IF(K40&lt;&gt;"","PAGO",IF(I40&lt;TODAY(),"VENCIDO",IF(I40=TODAY(),"VENCE HOJE","A VENCER"))))</f>
        <v/>
      </c>
      <c r="O40" s="57" t="str">
        <f aca="true">IF(OR(I40="",K40&lt;&gt;""),"",I40-TODAY())</f>
        <v/>
      </c>
      <c r="P40" s="51"/>
      <c r="Q40" s="51"/>
      <c r="R40" s="51"/>
      <c r="S40" s="50"/>
      <c r="T40" s="50"/>
      <c r="U40" s="52"/>
      <c r="V40" s="58" t="n">
        <f aca="false">IF(OR(B40="",I40="",F40="",F40=Cadastros!$E$4,F40=Cadastros!$E$9),999999,IF(COUNTIFS($B$5:$B$504,B40,$I$5:$I$504,"&gt;"&amp;I40)=0,YEAR(I40)*12+MONTH(I40),999999))</f>
        <v>999999</v>
      </c>
      <c r="W40" s="58" t="n">
        <f aca="false">IF(U40="",999999,YEAR(U40)*12+MONTH(U40))</f>
        <v>999999</v>
      </c>
      <c r="X40" s="58" t="n">
        <f aca="false">IF(F40=Cadastros!$E$6,3,IF(F40=Cadastros!$E$7,6,IF(F40=Cadastros!$E$8,12,1)))</f>
        <v>1</v>
      </c>
    </row>
    <row r="41" customFormat="false" ht="15" hidden="false" customHeight="false" outlineLevel="0" collapsed="false">
      <c r="A41" s="49" t="str">
        <f aca="false">IF(B41="","",ROW()-4)</f>
        <v/>
      </c>
      <c r="B41" s="50"/>
      <c r="C41" s="50"/>
      <c r="D41" s="50"/>
      <c r="E41" s="51"/>
      <c r="F41" s="51"/>
      <c r="G41" s="51"/>
      <c r="H41" s="52"/>
      <c r="I41" s="53"/>
      <c r="J41" s="54"/>
      <c r="K41" s="53"/>
      <c r="L41" s="54"/>
      <c r="M41" s="55" t="str">
        <f aca="false">IF(L41="","",L41-J41)</f>
        <v/>
      </c>
      <c r="N41" s="56" t="str">
        <f aca="true">IF(I41="","",IF(K41&lt;&gt;"","PAGO",IF(I41&lt;TODAY(),"VENCIDO",IF(I41=TODAY(),"VENCE HOJE","A VENCER"))))</f>
        <v/>
      </c>
      <c r="O41" s="57" t="str">
        <f aca="true">IF(OR(I41="",K41&lt;&gt;""),"",I41-TODAY())</f>
        <v/>
      </c>
      <c r="P41" s="51"/>
      <c r="Q41" s="51"/>
      <c r="R41" s="51"/>
      <c r="S41" s="50"/>
      <c r="T41" s="50"/>
      <c r="U41" s="52"/>
      <c r="V41" s="58" t="n">
        <f aca="false">IF(OR(B41="",I41="",F41="",F41=Cadastros!$E$4,F41=Cadastros!$E$9),999999,IF(COUNTIFS($B$5:$B$504,B41,$I$5:$I$504,"&gt;"&amp;I41)=0,YEAR(I41)*12+MONTH(I41),999999))</f>
        <v>999999</v>
      </c>
      <c r="W41" s="58" t="n">
        <f aca="false">IF(U41="",999999,YEAR(U41)*12+MONTH(U41))</f>
        <v>999999</v>
      </c>
      <c r="X41" s="58" t="n">
        <f aca="false">IF(F41=Cadastros!$E$6,3,IF(F41=Cadastros!$E$7,6,IF(F41=Cadastros!$E$8,12,1)))</f>
        <v>1</v>
      </c>
    </row>
    <row r="42" customFormat="false" ht="15" hidden="false" customHeight="false" outlineLevel="0" collapsed="false">
      <c r="A42" s="49" t="str">
        <f aca="false">IF(B42="","",ROW()-4)</f>
        <v/>
      </c>
      <c r="B42" s="50"/>
      <c r="C42" s="50"/>
      <c r="D42" s="50"/>
      <c r="E42" s="51"/>
      <c r="F42" s="51"/>
      <c r="G42" s="51"/>
      <c r="H42" s="52"/>
      <c r="I42" s="53"/>
      <c r="J42" s="54"/>
      <c r="K42" s="53"/>
      <c r="L42" s="54"/>
      <c r="M42" s="55" t="str">
        <f aca="false">IF(L42="","",L42-J42)</f>
        <v/>
      </c>
      <c r="N42" s="56" t="str">
        <f aca="true">IF(I42="","",IF(K42&lt;&gt;"","PAGO",IF(I42&lt;TODAY(),"VENCIDO",IF(I42=TODAY(),"VENCE HOJE","A VENCER"))))</f>
        <v/>
      </c>
      <c r="O42" s="57" t="str">
        <f aca="true">IF(OR(I42="",K42&lt;&gt;""),"",I42-TODAY())</f>
        <v/>
      </c>
      <c r="P42" s="51"/>
      <c r="Q42" s="51"/>
      <c r="R42" s="51"/>
      <c r="S42" s="50"/>
      <c r="T42" s="50"/>
      <c r="U42" s="52"/>
      <c r="V42" s="58" t="n">
        <f aca="false">IF(OR(B42="",I42="",F42="",F42=Cadastros!$E$4,F42=Cadastros!$E$9),999999,IF(COUNTIFS($B$5:$B$504,B42,$I$5:$I$504,"&gt;"&amp;I42)=0,YEAR(I42)*12+MONTH(I42),999999))</f>
        <v>999999</v>
      </c>
      <c r="W42" s="58" t="n">
        <f aca="false">IF(U42="",999999,YEAR(U42)*12+MONTH(U42))</f>
        <v>999999</v>
      </c>
      <c r="X42" s="58" t="n">
        <f aca="false">IF(F42=Cadastros!$E$6,3,IF(F42=Cadastros!$E$7,6,IF(F42=Cadastros!$E$8,12,1)))</f>
        <v>1</v>
      </c>
    </row>
    <row r="43" customFormat="false" ht="15" hidden="false" customHeight="false" outlineLevel="0" collapsed="false">
      <c r="A43" s="49" t="str">
        <f aca="false">IF(B43="","",ROW()-4)</f>
        <v/>
      </c>
      <c r="B43" s="50"/>
      <c r="C43" s="50"/>
      <c r="D43" s="50"/>
      <c r="E43" s="51"/>
      <c r="F43" s="51"/>
      <c r="G43" s="51"/>
      <c r="H43" s="52"/>
      <c r="I43" s="53"/>
      <c r="J43" s="54"/>
      <c r="K43" s="53"/>
      <c r="L43" s="54"/>
      <c r="M43" s="55" t="str">
        <f aca="false">IF(L43="","",L43-J43)</f>
        <v/>
      </c>
      <c r="N43" s="56" t="str">
        <f aca="true">IF(I43="","",IF(K43&lt;&gt;"","PAGO",IF(I43&lt;TODAY(),"VENCIDO",IF(I43=TODAY(),"VENCE HOJE","A VENCER"))))</f>
        <v/>
      </c>
      <c r="O43" s="57" t="str">
        <f aca="true">IF(OR(I43="",K43&lt;&gt;""),"",I43-TODAY())</f>
        <v/>
      </c>
      <c r="P43" s="51"/>
      <c r="Q43" s="51"/>
      <c r="R43" s="51"/>
      <c r="S43" s="50"/>
      <c r="T43" s="50"/>
      <c r="U43" s="52"/>
      <c r="V43" s="58" t="n">
        <f aca="false">IF(OR(B43="",I43="",F43="",F43=Cadastros!$E$4,F43=Cadastros!$E$9),999999,IF(COUNTIFS($B$5:$B$504,B43,$I$5:$I$504,"&gt;"&amp;I43)=0,YEAR(I43)*12+MONTH(I43),999999))</f>
        <v>999999</v>
      </c>
      <c r="W43" s="58" t="n">
        <f aca="false">IF(U43="",999999,YEAR(U43)*12+MONTH(U43))</f>
        <v>999999</v>
      </c>
      <c r="X43" s="58" t="n">
        <f aca="false">IF(F43=Cadastros!$E$6,3,IF(F43=Cadastros!$E$7,6,IF(F43=Cadastros!$E$8,12,1)))</f>
        <v>1</v>
      </c>
    </row>
    <row r="44" customFormat="false" ht="15" hidden="false" customHeight="false" outlineLevel="0" collapsed="false">
      <c r="A44" s="49" t="str">
        <f aca="false">IF(B44="","",ROW()-4)</f>
        <v/>
      </c>
      <c r="B44" s="50"/>
      <c r="C44" s="50"/>
      <c r="D44" s="50"/>
      <c r="E44" s="51"/>
      <c r="F44" s="51"/>
      <c r="G44" s="51"/>
      <c r="H44" s="52"/>
      <c r="I44" s="53"/>
      <c r="J44" s="54"/>
      <c r="K44" s="53"/>
      <c r="L44" s="54"/>
      <c r="M44" s="55" t="str">
        <f aca="false">IF(L44="","",L44-J44)</f>
        <v/>
      </c>
      <c r="N44" s="56" t="str">
        <f aca="true">IF(I44="","",IF(K44&lt;&gt;"","PAGO",IF(I44&lt;TODAY(),"VENCIDO",IF(I44=TODAY(),"VENCE HOJE","A VENCER"))))</f>
        <v/>
      </c>
      <c r="O44" s="57" t="str">
        <f aca="true">IF(OR(I44="",K44&lt;&gt;""),"",I44-TODAY())</f>
        <v/>
      </c>
      <c r="P44" s="51"/>
      <c r="Q44" s="51"/>
      <c r="R44" s="51"/>
      <c r="S44" s="50"/>
      <c r="T44" s="50"/>
      <c r="U44" s="52"/>
      <c r="V44" s="58" t="n">
        <f aca="false">IF(OR(B44="",I44="",F44="",F44=Cadastros!$E$4,F44=Cadastros!$E$9),999999,IF(COUNTIFS($B$5:$B$504,B44,$I$5:$I$504,"&gt;"&amp;I44)=0,YEAR(I44)*12+MONTH(I44),999999))</f>
        <v>999999</v>
      </c>
      <c r="W44" s="58" t="n">
        <f aca="false">IF(U44="",999999,YEAR(U44)*12+MONTH(U44))</f>
        <v>999999</v>
      </c>
      <c r="X44" s="58" t="n">
        <f aca="false">IF(F44=Cadastros!$E$6,3,IF(F44=Cadastros!$E$7,6,IF(F44=Cadastros!$E$8,12,1)))</f>
        <v>1</v>
      </c>
    </row>
    <row r="45" customFormat="false" ht="15" hidden="false" customHeight="false" outlineLevel="0" collapsed="false">
      <c r="A45" s="49" t="str">
        <f aca="false">IF(B45="","",ROW()-4)</f>
        <v/>
      </c>
      <c r="B45" s="50"/>
      <c r="C45" s="50"/>
      <c r="D45" s="50"/>
      <c r="E45" s="51"/>
      <c r="F45" s="51"/>
      <c r="G45" s="51"/>
      <c r="H45" s="52"/>
      <c r="I45" s="53"/>
      <c r="J45" s="54"/>
      <c r="K45" s="53"/>
      <c r="L45" s="54"/>
      <c r="M45" s="55" t="str">
        <f aca="false">IF(L45="","",L45-J45)</f>
        <v/>
      </c>
      <c r="N45" s="56" t="str">
        <f aca="true">IF(I45="","",IF(K45&lt;&gt;"","PAGO",IF(I45&lt;TODAY(),"VENCIDO",IF(I45=TODAY(),"VENCE HOJE","A VENCER"))))</f>
        <v/>
      </c>
      <c r="O45" s="57" t="str">
        <f aca="true">IF(OR(I45="",K45&lt;&gt;""),"",I45-TODAY())</f>
        <v/>
      </c>
      <c r="P45" s="51"/>
      <c r="Q45" s="51"/>
      <c r="R45" s="51"/>
      <c r="S45" s="50"/>
      <c r="T45" s="50"/>
      <c r="U45" s="52"/>
      <c r="V45" s="58" t="n">
        <f aca="false">IF(OR(B45="",I45="",F45="",F45=Cadastros!$E$4,F45=Cadastros!$E$9),999999,IF(COUNTIFS($B$5:$B$504,B45,$I$5:$I$504,"&gt;"&amp;I45)=0,YEAR(I45)*12+MONTH(I45),999999))</f>
        <v>999999</v>
      </c>
      <c r="W45" s="58" t="n">
        <f aca="false">IF(U45="",999999,YEAR(U45)*12+MONTH(U45))</f>
        <v>999999</v>
      </c>
      <c r="X45" s="58" t="n">
        <f aca="false">IF(F45=Cadastros!$E$6,3,IF(F45=Cadastros!$E$7,6,IF(F45=Cadastros!$E$8,12,1)))</f>
        <v>1</v>
      </c>
    </row>
    <row r="46" customFormat="false" ht="15" hidden="false" customHeight="false" outlineLevel="0" collapsed="false">
      <c r="A46" s="49" t="str">
        <f aca="false">IF(B46="","",ROW()-4)</f>
        <v/>
      </c>
      <c r="B46" s="50"/>
      <c r="C46" s="50"/>
      <c r="D46" s="50"/>
      <c r="E46" s="51"/>
      <c r="F46" s="51"/>
      <c r="G46" s="51"/>
      <c r="H46" s="52"/>
      <c r="I46" s="53"/>
      <c r="J46" s="54"/>
      <c r="K46" s="53"/>
      <c r="L46" s="54"/>
      <c r="M46" s="55" t="str">
        <f aca="false">IF(L46="","",L46-J46)</f>
        <v/>
      </c>
      <c r="N46" s="56" t="str">
        <f aca="true">IF(I46="","",IF(K46&lt;&gt;"","PAGO",IF(I46&lt;TODAY(),"VENCIDO",IF(I46=TODAY(),"VENCE HOJE","A VENCER"))))</f>
        <v/>
      </c>
      <c r="O46" s="57" t="str">
        <f aca="true">IF(OR(I46="",K46&lt;&gt;""),"",I46-TODAY())</f>
        <v/>
      </c>
      <c r="P46" s="51"/>
      <c r="Q46" s="51"/>
      <c r="R46" s="51"/>
      <c r="S46" s="50"/>
      <c r="T46" s="50"/>
      <c r="U46" s="52"/>
      <c r="V46" s="58" t="n">
        <f aca="false">IF(OR(B46="",I46="",F46="",F46=Cadastros!$E$4,F46=Cadastros!$E$9),999999,IF(COUNTIFS($B$5:$B$504,B46,$I$5:$I$504,"&gt;"&amp;I46)=0,YEAR(I46)*12+MONTH(I46),999999))</f>
        <v>999999</v>
      </c>
      <c r="W46" s="58" t="n">
        <f aca="false">IF(U46="",999999,YEAR(U46)*12+MONTH(U46))</f>
        <v>999999</v>
      </c>
      <c r="X46" s="58" t="n">
        <f aca="false">IF(F46=Cadastros!$E$6,3,IF(F46=Cadastros!$E$7,6,IF(F46=Cadastros!$E$8,12,1)))</f>
        <v>1</v>
      </c>
    </row>
    <row r="47" customFormat="false" ht="15" hidden="false" customHeight="false" outlineLevel="0" collapsed="false">
      <c r="A47" s="49" t="str">
        <f aca="false">IF(B47="","",ROW()-4)</f>
        <v/>
      </c>
      <c r="B47" s="50"/>
      <c r="C47" s="50"/>
      <c r="D47" s="50"/>
      <c r="E47" s="51"/>
      <c r="F47" s="51"/>
      <c r="G47" s="51"/>
      <c r="H47" s="52"/>
      <c r="I47" s="53"/>
      <c r="J47" s="54"/>
      <c r="K47" s="53"/>
      <c r="L47" s="54"/>
      <c r="M47" s="55" t="str">
        <f aca="false">IF(L47="","",L47-J47)</f>
        <v/>
      </c>
      <c r="N47" s="56" t="str">
        <f aca="true">IF(I47="","",IF(K47&lt;&gt;"","PAGO",IF(I47&lt;TODAY(),"VENCIDO",IF(I47=TODAY(),"VENCE HOJE","A VENCER"))))</f>
        <v/>
      </c>
      <c r="O47" s="57" t="str">
        <f aca="true">IF(OR(I47="",K47&lt;&gt;""),"",I47-TODAY())</f>
        <v/>
      </c>
      <c r="P47" s="51"/>
      <c r="Q47" s="51"/>
      <c r="R47" s="51"/>
      <c r="S47" s="50"/>
      <c r="T47" s="50"/>
      <c r="U47" s="52"/>
      <c r="V47" s="58" t="n">
        <f aca="false">IF(OR(B47="",I47="",F47="",F47=Cadastros!$E$4,F47=Cadastros!$E$9),999999,IF(COUNTIFS($B$5:$B$504,B47,$I$5:$I$504,"&gt;"&amp;I47)=0,YEAR(I47)*12+MONTH(I47),999999))</f>
        <v>999999</v>
      </c>
      <c r="W47" s="58" t="n">
        <f aca="false">IF(U47="",999999,YEAR(U47)*12+MONTH(U47))</f>
        <v>999999</v>
      </c>
      <c r="X47" s="58" t="n">
        <f aca="false">IF(F47=Cadastros!$E$6,3,IF(F47=Cadastros!$E$7,6,IF(F47=Cadastros!$E$8,12,1)))</f>
        <v>1</v>
      </c>
    </row>
    <row r="48" customFormat="false" ht="15" hidden="false" customHeight="false" outlineLevel="0" collapsed="false">
      <c r="A48" s="49" t="str">
        <f aca="false">IF(B48="","",ROW()-4)</f>
        <v/>
      </c>
      <c r="B48" s="50"/>
      <c r="C48" s="50"/>
      <c r="D48" s="50"/>
      <c r="E48" s="51"/>
      <c r="F48" s="51"/>
      <c r="G48" s="51"/>
      <c r="H48" s="52"/>
      <c r="I48" s="53"/>
      <c r="J48" s="54"/>
      <c r="K48" s="53"/>
      <c r="L48" s="54"/>
      <c r="M48" s="55" t="str">
        <f aca="false">IF(L48="","",L48-J48)</f>
        <v/>
      </c>
      <c r="N48" s="56" t="str">
        <f aca="true">IF(I48="","",IF(K48&lt;&gt;"","PAGO",IF(I48&lt;TODAY(),"VENCIDO",IF(I48=TODAY(),"VENCE HOJE","A VENCER"))))</f>
        <v/>
      </c>
      <c r="O48" s="57" t="str">
        <f aca="true">IF(OR(I48="",K48&lt;&gt;""),"",I48-TODAY())</f>
        <v/>
      </c>
      <c r="P48" s="51"/>
      <c r="Q48" s="51"/>
      <c r="R48" s="51"/>
      <c r="S48" s="50"/>
      <c r="T48" s="50"/>
      <c r="U48" s="52"/>
      <c r="V48" s="58" t="n">
        <f aca="false">IF(OR(B48="",I48="",F48="",F48=Cadastros!$E$4,F48=Cadastros!$E$9),999999,IF(COUNTIFS($B$5:$B$504,B48,$I$5:$I$504,"&gt;"&amp;I48)=0,YEAR(I48)*12+MONTH(I48),999999))</f>
        <v>999999</v>
      </c>
      <c r="W48" s="58" t="n">
        <f aca="false">IF(U48="",999999,YEAR(U48)*12+MONTH(U48))</f>
        <v>999999</v>
      </c>
      <c r="X48" s="58" t="n">
        <f aca="false">IF(F48=Cadastros!$E$6,3,IF(F48=Cadastros!$E$7,6,IF(F48=Cadastros!$E$8,12,1)))</f>
        <v>1</v>
      </c>
    </row>
    <row r="49" customFormat="false" ht="15" hidden="false" customHeight="false" outlineLevel="0" collapsed="false">
      <c r="A49" s="49" t="str">
        <f aca="false">IF(B49="","",ROW()-4)</f>
        <v/>
      </c>
      <c r="B49" s="50"/>
      <c r="C49" s="50"/>
      <c r="D49" s="50"/>
      <c r="E49" s="51"/>
      <c r="F49" s="51"/>
      <c r="G49" s="51"/>
      <c r="H49" s="52"/>
      <c r="I49" s="53"/>
      <c r="J49" s="54"/>
      <c r="K49" s="53"/>
      <c r="L49" s="54"/>
      <c r="M49" s="55" t="str">
        <f aca="false">IF(L49="","",L49-J49)</f>
        <v/>
      </c>
      <c r="N49" s="56" t="str">
        <f aca="true">IF(I49="","",IF(K49&lt;&gt;"","PAGO",IF(I49&lt;TODAY(),"VENCIDO",IF(I49=TODAY(),"VENCE HOJE","A VENCER"))))</f>
        <v/>
      </c>
      <c r="O49" s="57" t="str">
        <f aca="true">IF(OR(I49="",K49&lt;&gt;""),"",I49-TODAY())</f>
        <v/>
      </c>
      <c r="P49" s="51"/>
      <c r="Q49" s="51"/>
      <c r="R49" s="51"/>
      <c r="S49" s="50"/>
      <c r="T49" s="50"/>
      <c r="U49" s="52"/>
      <c r="V49" s="58" t="n">
        <f aca="false">IF(OR(B49="",I49="",F49="",F49=Cadastros!$E$4,F49=Cadastros!$E$9),999999,IF(COUNTIFS($B$5:$B$504,B49,$I$5:$I$504,"&gt;"&amp;I49)=0,YEAR(I49)*12+MONTH(I49),999999))</f>
        <v>999999</v>
      </c>
      <c r="W49" s="58" t="n">
        <f aca="false">IF(U49="",999999,YEAR(U49)*12+MONTH(U49))</f>
        <v>999999</v>
      </c>
      <c r="X49" s="58" t="n">
        <f aca="false">IF(F49=Cadastros!$E$6,3,IF(F49=Cadastros!$E$7,6,IF(F49=Cadastros!$E$8,12,1)))</f>
        <v>1</v>
      </c>
    </row>
    <row r="50" customFormat="false" ht="15" hidden="false" customHeight="false" outlineLevel="0" collapsed="false">
      <c r="A50" s="49" t="str">
        <f aca="false">IF(B50="","",ROW()-4)</f>
        <v/>
      </c>
      <c r="B50" s="50"/>
      <c r="C50" s="50"/>
      <c r="D50" s="50"/>
      <c r="E50" s="51"/>
      <c r="F50" s="51"/>
      <c r="G50" s="51"/>
      <c r="H50" s="52"/>
      <c r="I50" s="53"/>
      <c r="J50" s="54"/>
      <c r="K50" s="53"/>
      <c r="L50" s="54"/>
      <c r="M50" s="55" t="str">
        <f aca="false">IF(L50="","",L50-J50)</f>
        <v/>
      </c>
      <c r="N50" s="56" t="str">
        <f aca="true">IF(I50="","",IF(K50&lt;&gt;"","PAGO",IF(I50&lt;TODAY(),"VENCIDO",IF(I50=TODAY(),"VENCE HOJE","A VENCER"))))</f>
        <v/>
      </c>
      <c r="O50" s="57" t="str">
        <f aca="true">IF(OR(I50="",K50&lt;&gt;""),"",I50-TODAY())</f>
        <v/>
      </c>
      <c r="P50" s="51"/>
      <c r="Q50" s="51"/>
      <c r="R50" s="51"/>
      <c r="S50" s="50"/>
      <c r="T50" s="50"/>
      <c r="U50" s="52"/>
      <c r="V50" s="58" t="n">
        <f aca="false">IF(OR(B50="",I50="",F50="",F50=Cadastros!$E$4,F50=Cadastros!$E$9),999999,IF(COUNTIFS($B$5:$B$504,B50,$I$5:$I$504,"&gt;"&amp;I50)=0,YEAR(I50)*12+MONTH(I50),999999))</f>
        <v>999999</v>
      </c>
      <c r="W50" s="58" t="n">
        <f aca="false">IF(U50="",999999,YEAR(U50)*12+MONTH(U50))</f>
        <v>999999</v>
      </c>
      <c r="X50" s="58" t="n">
        <f aca="false">IF(F50=Cadastros!$E$6,3,IF(F50=Cadastros!$E$7,6,IF(F50=Cadastros!$E$8,12,1)))</f>
        <v>1</v>
      </c>
    </row>
    <row r="51" customFormat="false" ht="15" hidden="false" customHeight="false" outlineLevel="0" collapsed="false">
      <c r="A51" s="49" t="str">
        <f aca="false">IF(B51="","",ROW()-4)</f>
        <v/>
      </c>
      <c r="B51" s="50"/>
      <c r="C51" s="50"/>
      <c r="D51" s="50"/>
      <c r="E51" s="51"/>
      <c r="F51" s="51"/>
      <c r="G51" s="51"/>
      <c r="H51" s="52"/>
      <c r="I51" s="53"/>
      <c r="J51" s="54"/>
      <c r="K51" s="53"/>
      <c r="L51" s="54"/>
      <c r="M51" s="55" t="str">
        <f aca="false">IF(L51="","",L51-J51)</f>
        <v/>
      </c>
      <c r="N51" s="56" t="str">
        <f aca="true">IF(I51="","",IF(K51&lt;&gt;"","PAGO",IF(I51&lt;TODAY(),"VENCIDO",IF(I51=TODAY(),"VENCE HOJE","A VENCER"))))</f>
        <v/>
      </c>
      <c r="O51" s="57" t="str">
        <f aca="true">IF(OR(I51="",K51&lt;&gt;""),"",I51-TODAY())</f>
        <v/>
      </c>
      <c r="P51" s="51"/>
      <c r="Q51" s="51"/>
      <c r="R51" s="51"/>
      <c r="S51" s="50"/>
      <c r="T51" s="50"/>
      <c r="U51" s="52"/>
      <c r="V51" s="58" t="n">
        <f aca="false">IF(OR(B51="",I51="",F51="",F51=Cadastros!$E$4,F51=Cadastros!$E$9),999999,IF(COUNTIFS($B$5:$B$504,B51,$I$5:$I$504,"&gt;"&amp;I51)=0,YEAR(I51)*12+MONTH(I51),999999))</f>
        <v>999999</v>
      </c>
      <c r="W51" s="58" t="n">
        <f aca="false">IF(U51="",999999,YEAR(U51)*12+MONTH(U51))</f>
        <v>999999</v>
      </c>
      <c r="X51" s="58" t="n">
        <f aca="false">IF(F51=Cadastros!$E$6,3,IF(F51=Cadastros!$E$7,6,IF(F51=Cadastros!$E$8,12,1)))</f>
        <v>1</v>
      </c>
    </row>
    <row r="52" customFormat="false" ht="15" hidden="false" customHeight="false" outlineLevel="0" collapsed="false">
      <c r="A52" s="49" t="str">
        <f aca="false">IF(B52="","",ROW()-4)</f>
        <v/>
      </c>
      <c r="B52" s="50"/>
      <c r="C52" s="50"/>
      <c r="D52" s="50"/>
      <c r="E52" s="51"/>
      <c r="F52" s="51"/>
      <c r="G52" s="51"/>
      <c r="H52" s="52"/>
      <c r="I52" s="53"/>
      <c r="J52" s="54"/>
      <c r="K52" s="53"/>
      <c r="L52" s="54"/>
      <c r="M52" s="55" t="str">
        <f aca="false">IF(L52="","",L52-J52)</f>
        <v/>
      </c>
      <c r="N52" s="56" t="str">
        <f aca="true">IF(I52="","",IF(K52&lt;&gt;"","PAGO",IF(I52&lt;TODAY(),"VENCIDO",IF(I52=TODAY(),"VENCE HOJE","A VENCER"))))</f>
        <v/>
      </c>
      <c r="O52" s="57" t="str">
        <f aca="true">IF(OR(I52="",K52&lt;&gt;""),"",I52-TODAY())</f>
        <v/>
      </c>
      <c r="P52" s="51"/>
      <c r="Q52" s="51"/>
      <c r="R52" s="51"/>
      <c r="S52" s="50"/>
      <c r="T52" s="50"/>
      <c r="U52" s="52"/>
      <c r="V52" s="58" t="n">
        <f aca="false">IF(OR(B52="",I52="",F52="",F52=Cadastros!$E$4,F52=Cadastros!$E$9),999999,IF(COUNTIFS($B$5:$B$504,B52,$I$5:$I$504,"&gt;"&amp;I52)=0,YEAR(I52)*12+MONTH(I52),999999))</f>
        <v>999999</v>
      </c>
      <c r="W52" s="58" t="n">
        <f aca="false">IF(U52="",999999,YEAR(U52)*12+MONTH(U52))</f>
        <v>999999</v>
      </c>
      <c r="X52" s="58" t="n">
        <f aca="false">IF(F52=Cadastros!$E$6,3,IF(F52=Cadastros!$E$7,6,IF(F52=Cadastros!$E$8,12,1)))</f>
        <v>1</v>
      </c>
    </row>
    <row r="53" customFormat="false" ht="15" hidden="false" customHeight="false" outlineLevel="0" collapsed="false">
      <c r="A53" s="49" t="str">
        <f aca="false">IF(B53="","",ROW()-4)</f>
        <v/>
      </c>
      <c r="B53" s="50"/>
      <c r="C53" s="50"/>
      <c r="D53" s="50"/>
      <c r="E53" s="51"/>
      <c r="F53" s="51"/>
      <c r="G53" s="51"/>
      <c r="H53" s="52"/>
      <c r="I53" s="53"/>
      <c r="J53" s="54"/>
      <c r="K53" s="53"/>
      <c r="L53" s="54"/>
      <c r="M53" s="55" t="str">
        <f aca="false">IF(L53="","",L53-J53)</f>
        <v/>
      </c>
      <c r="N53" s="56" t="str">
        <f aca="true">IF(I53="","",IF(K53&lt;&gt;"","PAGO",IF(I53&lt;TODAY(),"VENCIDO",IF(I53=TODAY(),"VENCE HOJE","A VENCER"))))</f>
        <v/>
      </c>
      <c r="O53" s="57" t="str">
        <f aca="true">IF(OR(I53="",K53&lt;&gt;""),"",I53-TODAY())</f>
        <v/>
      </c>
      <c r="P53" s="51"/>
      <c r="Q53" s="51"/>
      <c r="R53" s="51"/>
      <c r="S53" s="50"/>
      <c r="T53" s="50"/>
      <c r="U53" s="52"/>
      <c r="V53" s="58" t="n">
        <f aca="false">IF(OR(B53="",I53="",F53="",F53=Cadastros!$E$4,F53=Cadastros!$E$9),999999,IF(COUNTIFS($B$5:$B$504,B53,$I$5:$I$504,"&gt;"&amp;I53)=0,YEAR(I53)*12+MONTH(I53),999999))</f>
        <v>999999</v>
      </c>
      <c r="W53" s="58" t="n">
        <f aca="false">IF(U53="",999999,YEAR(U53)*12+MONTH(U53))</f>
        <v>999999</v>
      </c>
      <c r="X53" s="58" t="n">
        <f aca="false">IF(F53=Cadastros!$E$6,3,IF(F53=Cadastros!$E$7,6,IF(F53=Cadastros!$E$8,12,1)))</f>
        <v>1</v>
      </c>
    </row>
    <row r="54" customFormat="false" ht="15" hidden="false" customHeight="false" outlineLevel="0" collapsed="false">
      <c r="A54" s="49" t="str">
        <f aca="false">IF(B54="","",ROW()-4)</f>
        <v/>
      </c>
      <c r="B54" s="50"/>
      <c r="C54" s="50"/>
      <c r="D54" s="50"/>
      <c r="E54" s="51"/>
      <c r="F54" s="51"/>
      <c r="G54" s="51"/>
      <c r="H54" s="52"/>
      <c r="I54" s="53"/>
      <c r="J54" s="54"/>
      <c r="K54" s="53"/>
      <c r="L54" s="54"/>
      <c r="M54" s="55" t="str">
        <f aca="false">IF(L54="","",L54-J54)</f>
        <v/>
      </c>
      <c r="N54" s="56" t="str">
        <f aca="true">IF(I54="","",IF(K54&lt;&gt;"","PAGO",IF(I54&lt;TODAY(),"VENCIDO",IF(I54=TODAY(),"VENCE HOJE","A VENCER"))))</f>
        <v/>
      </c>
      <c r="O54" s="57" t="str">
        <f aca="true">IF(OR(I54="",K54&lt;&gt;""),"",I54-TODAY())</f>
        <v/>
      </c>
      <c r="P54" s="51"/>
      <c r="Q54" s="51"/>
      <c r="R54" s="51"/>
      <c r="S54" s="50"/>
      <c r="T54" s="50"/>
      <c r="U54" s="52"/>
      <c r="V54" s="58" t="n">
        <f aca="false">IF(OR(B54="",I54="",F54="",F54=Cadastros!$E$4,F54=Cadastros!$E$9),999999,IF(COUNTIFS($B$5:$B$504,B54,$I$5:$I$504,"&gt;"&amp;I54)=0,YEAR(I54)*12+MONTH(I54),999999))</f>
        <v>999999</v>
      </c>
      <c r="W54" s="58" t="n">
        <f aca="false">IF(U54="",999999,YEAR(U54)*12+MONTH(U54))</f>
        <v>999999</v>
      </c>
      <c r="X54" s="58" t="n">
        <f aca="false">IF(F54=Cadastros!$E$6,3,IF(F54=Cadastros!$E$7,6,IF(F54=Cadastros!$E$8,12,1)))</f>
        <v>1</v>
      </c>
    </row>
    <row r="55" customFormat="false" ht="15" hidden="false" customHeight="false" outlineLevel="0" collapsed="false">
      <c r="A55" s="49" t="str">
        <f aca="false">IF(B55="","",ROW()-4)</f>
        <v/>
      </c>
      <c r="B55" s="50"/>
      <c r="C55" s="50"/>
      <c r="D55" s="50"/>
      <c r="E55" s="51"/>
      <c r="F55" s="51"/>
      <c r="G55" s="51"/>
      <c r="H55" s="52"/>
      <c r="I55" s="53"/>
      <c r="J55" s="54"/>
      <c r="K55" s="53"/>
      <c r="L55" s="54"/>
      <c r="M55" s="55" t="str">
        <f aca="false">IF(L55="","",L55-J55)</f>
        <v/>
      </c>
      <c r="N55" s="56" t="str">
        <f aca="true">IF(I55="","",IF(K55&lt;&gt;"","PAGO",IF(I55&lt;TODAY(),"VENCIDO",IF(I55=TODAY(),"VENCE HOJE","A VENCER"))))</f>
        <v/>
      </c>
      <c r="O55" s="57" t="str">
        <f aca="true">IF(OR(I55="",K55&lt;&gt;""),"",I55-TODAY())</f>
        <v/>
      </c>
      <c r="P55" s="51"/>
      <c r="Q55" s="51"/>
      <c r="R55" s="51"/>
      <c r="S55" s="50"/>
      <c r="T55" s="50"/>
      <c r="U55" s="52"/>
      <c r="V55" s="58" t="n">
        <f aca="false">IF(OR(B55="",I55="",F55="",F55=Cadastros!$E$4,F55=Cadastros!$E$9),999999,IF(COUNTIFS($B$5:$B$504,B55,$I$5:$I$504,"&gt;"&amp;I55)=0,YEAR(I55)*12+MONTH(I55),999999))</f>
        <v>999999</v>
      </c>
      <c r="W55" s="58" t="n">
        <f aca="false">IF(U55="",999999,YEAR(U55)*12+MONTH(U55))</f>
        <v>999999</v>
      </c>
      <c r="X55" s="58" t="n">
        <f aca="false">IF(F55=Cadastros!$E$6,3,IF(F55=Cadastros!$E$7,6,IF(F55=Cadastros!$E$8,12,1)))</f>
        <v>1</v>
      </c>
    </row>
    <row r="56" customFormat="false" ht="15" hidden="false" customHeight="false" outlineLevel="0" collapsed="false">
      <c r="A56" s="49" t="str">
        <f aca="false">IF(B56="","",ROW()-4)</f>
        <v/>
      </c>
      <c r="B56" s="50"/>
      <c r="C56" s="50"/>
      <c r="D56" s="50"/>
      <c r="E56" s="51"/>
      <c r="F56" s="51"/>
      <c r="G56" s="51"/>
      <c r="H56" s="52"/>
      <c r="I56" s="53"/>
      <c r="J56" s="54"/>
      <c r="K56" s="53"/>
      <c r="L56" s="54"/>
      <c r="M56" s="55" t="str">
        <f aca="false">IF(L56="","",L56-J56)</f>
        <v/>
      </c>
      <c r="N56" s="56" t="str">
        <f aca="true">IF(I56="","",IF(K56&lt;&gt;"","PAGO",IF(I56&lt;TODAY(),"VENCIDO",IF(I56=TODAY(),"VENCE HOJE","A VENCER"))))</f>
        <v/>
      </c>
      <c r="O56" s="57" t="str">
        <f aca="true">IF(OR(I56="",K56&lt;&gt;""),"",I56-TODAY())</f>
        <v/>
      </c>
      <c r="P56" s="51"/>
      <c r="Q56" s="51"/>
      <c r="R56" s="51"/>
      <c r="S56" s="50"/>
      <c r="T56" s="50"/>
      <c r="U56" s="52"/>
      <c r="V56" s="58" t="n">
        <f aca="false">IF(OR(B56="",I56="",F56="",F56=Cadastros!$E$4,F56=Cadastros!$E$9),999999,IF(COUNTIFS($B$5:$B$504,B56,$I$5:$I$504,"&gt;"&amp;I56)=0,YEAR(I56)*12+MONTH(I56),999999))</f>
        <v>999999</v>
      </c>
      <c r="W56" s="58" t="n">
        <f aca="false">IF(U56="",999999,YEAR(U56)*12+MONTH(U56))</f>
        <v>999999</v>
      </c>
      <c r="X56" s="58" t="n">
        <f aca="false">IF(F56=Cadastros!$E$6,3,IF(F56=Cadastros!$E$7,6,IF(F56=Cadastros!$E$8,12,1)))</f>
        <v>1</v>
      </c>
    </row>
    <row r="57" customFormat="false" ht="15" hidden="false" customHeight="false" outlineLevel="0" collapsed="false">
      <c r="A57" s="49" t="str">
        <f aca="false">IF(B57="","",ROW()-4)</f>
        <v/>
      </c>
      <c r="B57" s="50"/>
      <c r="C57" s="50"/>
      <c r="D57" s="50"/>
      <c r="E57" s="51"/>
      <c r="F57" s="51"/>
      <c r="G57" s="51"/>
      <c r="H57" s="52"/>
      <c r="I57" s="53"/>
      <c r="J57" s="54"/>
      <c r="K57" s="53"/>
      <c r="L57" s="54"/>
      <c r="M57" s="55" t="str">
        <f aca="false">IF(L57="","",L57-J57)</f>
        <v/>
      </c>
      <c r="N57" s="56" t="str">
        <f aca="true">IF(I57="","",IF(K57&lt;&gt;"","PAGO",IF(I57&lt;TODAY(),"VENCIDO",IF(I57=TODAY(),"VENCE HOJE","A VENCER"))))</f>
        <v/>
      </c>
      <c r="O57" s="57" t="str">
        <f aca="true">IF(OR(I57="",K57&lt;&gt;""),"",I57-TODAY())</f>
        <v/>
      </c>
      <c r="P57" s="51"/>
      <c r="Q57" s="51"/>
      <c r="R57" s="51"/>
      <c r="S57" s="50"/>
      <c r="T57" s="50"/>
      <c r="U57" s="52"/>
      <c r="V57" s="58" t="n">
        <f aca="false">IF(OR(B57="",I57="",F57="",F57=Cadastros!$E$4,F57=Cadastros!$E$9),999999,IF(COUNTIFS($B$5:$B$504,B57,$I$5:$I$504,"&gt;"&amp;I57)=0,YEAR(I57)*12+MONTH(I57),999999))</f>
        <v>999999</v>
      </c>
      <c r="W57" s="58" t="n">
        <f aca="false">IF(U57="",999999,YEAR(U57)*12+MONTH(U57))</f>
        <v>999999</v>
      </c>
      <c r="X57" s="58" t="n">
        <f aca="false">IF(F57=Cadastros!$E$6,3,IF(F57=Cadastros!$E$7,6,IF(F57=Cadastros!$E$8,12,1)))</f>
        <v>1</v>
      </c>
    </row>
    <row r="58" customFormat="false" ht="15" hidden="false" customHeight="false" outlineLevel="0" collapsed="false">
      <c r="A58" s="49" t="str">
        <f aca="false">IF(B58="","",ROW()-4)</f>
        <v/>
      </c>
      <c r="B58" s="50"/>
      <c r="C58" s="50"/>
      <c r="D58" s="50"/>
      <c r="E58" s="51"/>
      <c r="F58" s="51"/>
      <c r="G58" s="51"/>
      <c r="H58" s="52"/>
      <c r="I58" s="53"/>
      <c r="J58" s="54"/>
      <c r="K58" s="53"/>
      <c r="L58" s="54"/>
      <c r="M58" s="55" t="str">
        <f aca="false">IF(L58="","",L58-J58)</f>
        <v/>
      </c>
      <c r="N58" s="56" t="str">
        <f aca="true">IF(I58="","",IF(K58&lt;&gt;"","PAGO",IF(I58&lt;TODAY(),"VENCIDO",IF(I58=TODAY(),"VENCE HOJE","A VENCER"))))</f>
        <v/>
      </c>
      <c r="O58" s="57" t="str">
        <f aca="true">IF(OR(I58="",K58&lt;&gt;""),"",I58-TODAY())</f>
        <v/>
      </c>
      <c r="P58" s="51"/>
      <c r="Q58" s="51"/>
      <c r="R58" s="51"/>
      <c r="S58" s="50"/>
      <c r="T58" s="50"/>
      <c r="U58" s="52"/>
      <c r="V58" s="58" t="n">
        <f aca="false">IF(OR(B58="",I58="",F58="",F58=Cadastros!$E$4,F58=Cadastros!$E$9),999999,IF(COUNTIFS($B$5:$B$504,B58,$I$5:$I$504,"&gt;"&amp;I58)=0,YEAR(I58)*12+MONTH(I58),999999))</f>
        <v>999999</v>
      </c>
      <c r="W58" s="58" t="n">
        <f aca="false">IF(U58="",999999,YEAR(U58)*12+MONTH(U58))</f>
        <v>999999</v>
      </c>
      <c r="X58" s="58" t="n">
        <f aca="false">IF(F58=Cadastros!$E$6,3,IF(F58=Cadastros!$E$7,6,IF(F58=Cadastros!$E$8,12,1)))</f>
        <v>1</v>
      </c>
    </row>
    <row r="59" customFormat="false" ht="15" hidden="false" customHeight="false" outlineLevel="0" collapsed="false">
      <c r="A59" s="49" t="str">
        <f aca="false">IF(B59="","",ROW()-4)</f>
        <v/>
      </c>
      <c r="B59" s="50"/>
      <c r="C59" s="50"/>
      <c r="D59" s="50"/>
      <c r="E59" s="51"/>
      <c r="F59" s="51"/>
      <c r="G59" s="51"/>
      <c r="H59" s="52"/>
      <c r="I59" s="53"/>
      <c r="J59" s="54"/>
      <c r="K59" s="53"/>
      <c r="L59" s="54"/>
      <c r="M59" s="55" t="str">
        <f aca="false">IF(L59="","",L59-J59)</f>
        <v/>
      </c>
      <c r="N59" s="56" t="str">
        <f aca="true">IF(I59="","",IF(K59&lt;&gt;"","PAGO",IF(I59&lt;TODAY(),"VENCIDO",IF(I59=TODAY(),"VENCE HOJE","A VENCER"))))</f>
        <v/>
      </c>
      <c r="O59" s="57" t="str">
        <f aca="true">IF(OR(I59="",K59&lt;&gt;""),"",I59-TODAY())</f>
        <v/>
      </c>
      <c r="P59" s="51"/>
      <c r="Q59" s="51"/>
      <c r="R59" s="51"/>
      <c r="S59" s="50"/>
      <c r="T59" s="50"/>
      <c r="U59" s="52"/>
      <c r="V59" s="58" t="n">
        <f aca="false">IF(OR(B59="",I59="",F59="",F59=Cadastros!$E$4,F59=Cadastros!$E$9),999999,IF(COUNTIFS($B$5:$B$504,B59,$I$5:$I$504,"&gt;"&amp;I59)=0,YEAR(I59)*12+MONTH(I59),999999))</f>
        <v>999999</v>
      </c>
      <c r="W59" s="58" t="n">
        <f aca="false">IF(U59="",999999,YEAR(U59)*12+MONTH(U59))</f>
        <v>999999</v>
      </c>
      <c r="X59" s="58" t="n">
        <f aca="false">IF(F59=Cadastros!$E$6,3,IF(F59=Cadastros!$E$7,6,IF(F59=Cadastros!$E$8,12,1)))</f>
        <v>1</v>
      </c>
    </row>
    <row r="60" customFormat="false" ht="15" hidden="false" customHeight="false" outlineLevel="0" collapsed="false">
      <c r="A60" s="49" t="str">
        <f aca="false">IF(B60="","",ROW()-4)</f>
        <v/>
      </c>
      <c r="B60" s="50"/>
      <c r="C60" s="50"/>
      <c r="D60" s="50"/>
      <c r="E60" s="51"/>
      <c r="F60" s="51"/>
      <c r="G60" s="51"/>
      <c r="H60" s="52"/>
      <c r="I60" s="53"/>
      <c r="J60" s="54"/>
      <c r="K60" s="53"/>
      <c r="L60" s="54"/>
      <c r="M60" s="55" t="str">
        <f aca="false">IF(L60="","",L60-J60)</f>
        <v/>
      </c>
      <c r="N60" s="56" t="str">
        <f aca="true">IF(I60="","",IF(K60&lt;&gt;"","PAGO",IF(I60&lt;TODAY(),"VENCIDO",IF(I60=TODAY(),"VENCE HOJE","A VENCER"))))</f>
        <v/>
      </c>
      <c r="O60" s="57" t="str">
        <f aca="true">IF(OR(I60="",K60&lt;&gt;""),"",I60-TODAY())</f>
        <v/>
      </c>
      <c r="P60" s="51"/>
      <c r="Q60" s="51"/>
      <c r="R60" s="51"/>
      <c r="S60" s="50"/>
      <c r="T60" s="50"/>
      <c r="U60" s="52"/>
      <c r="V60" s="58" t="n">
        <f aca="false">IF(OR(B60="",I60="",F60="",F60=Cadastros!$E$4,F60=Cadastros!$E$9),999999,IF(COUNTIFS($B$5:$B$504,B60,$I$5:$I$504,"&gt;"&amp;I60)=0,YEAR(I60)*12+MONTH(I60),999999))</f>
        <v>999999</v>
      </c>
      <c r="W60" s="58" t="n">
        <f aca="false">IF(U60="",999999,YEAR(U60)*12+MONTH(U60))</f>
        <v>999999</v>
      </c>
      <c r="X60" s="58" t="n">
        <f aca="false">IF(F60=Cadastros!$E$6,3,IF(F60=Cadastros!$E$7,6,IF(F60=Cadastros!$E$8,12,1)))</f>
        <v>1</v>
      </c>
    </row>
    <row r="61" customFormat="false" ht="15" hidden="false" customHeight="false" outlineLevel="0" collapsed="false">
      <c r="A61" s="49" t="str">
        <f aca="false">IF(B61="","",ROW()-4)</f>
        <v/>
      </c>
      <c r="B61" s="50"/>
      <c r="C61" s="50"/>
      <c r="D61" s="50"/>
      <c r="E61" s="51"/>
      <c r="F61" s="51"/>
      <c r="G61" s="51"/>
      <c r="H61" s="52"/>
      <c r="I61" s="53"/>
      <c r="J61" s="54"/>
      <c r="K61" s="53"/>
      <c r="L61" s="54"/>
      <c r="M61" s="55" t="str">
        <f aca="false">IF(L61="","",L61-J61)</f>
        <v/>
      </c>
      <c r="N61" s="56" t="str">
        <f aca="true">IF(I61="","",IF(K61&lt;&gt;"","PAGO",IF(I61&lt;TODAY(),"VENCIDO",IF(I61=TODAY(),"VENCE HOJE","A VENCER"))))</f>
        <v/>
      </c>
      <c r="O61" s="57" t="str">
        <f aca="true">IF(OR(I61="",K61&lt;&gt;""),"",I61-TODAY())</f>
        <v/>
      </c>
      <c r="P61" s="51"/>
      <c r="Q61" s="51"/>
      <c r="R61" s="51"/>
      <c r="S61" s="50"/>
      <c r="T61" s="50"/>
      <c r="U61" s="52"/>
      <c r="V61" s="58" t="n">
        <f aca="false">IF(OR(B61="",I61="",F61="",F61=Cadastros!$E$4,F61=Cadastros!$E$9),999999,IF(COUNTIFS($B$5:$B$504,B61,$I$5:$I$504,"&gt;"&amp;I61)=0,YEAR(I61)*12+MONTH(I61),999999))</f>
        <v>999999</v>
      </c>
      <c r="W61" s="58" t="n">
        <f aca="false">IF(U61="",999999,YEAR(U61)*12+MONTH(U61))</f>
        <v>999999</v>
      </c>
      <c r="X61" s="58" t="n">
        <f aca="false">IF(F61=Cadastros!$E$6,3,IF(F61=Cadastros!$E$7,6,IF(F61=Cadastros!$E$8,12,1)))</f>
        <v>1</v>
      </c>
    </row>
    <row r="62" customFormat="false" ht="15" hidden="false" customHeight="false" outlineLevel="0" collapsed="false">
      <c r="A62" s="49" t="str">
        <f aca="false">IF(B62="","",ROW()-4)</f>
        <v/>
      </c>
      <c r="B62" s="50"/>
      <c r="C62" s="50"/>
      <c r="D62" s="50"/>
      <c r="E62" s="51"/>
      <c r="F62" s="51"/>
      <c r="G62" s="51"/>
      <c r="H62" s="52"/>
      <c r="I62" s="53"/>
      <c r="J62" s="54"/>
      <c r="K62" s="53"/>
      <c r="L62" s="54"/>
      <c r="M62" s="55" t="str">
        <f aca="false">IF(L62="","",L62-J62)</f>
        <v/>
      </c>
      <c r="N62" s="56" t="str">
        <f aca="true">IF(I62="","",IF(K62&lt;&gt;"","PAGO",IF(I62&lt;TODAY(),"VENCIDO",IF(I62=TODAY(),"VENCE HOJE","A VENCER"))))</f>
        <v/>
      </c>
      <c r="O62" s="57" t="str">
        <f aca="true">IF(OR(I62="",K62&lt;&gt;""),"",I62-TODAY())</f>
        <v/>
      </c>
      <c r="P62" s="51"/>
      <c r="Q62" s="51"/>
      <c r="R62" s="51"/>
      <c r="S62" s="50"/>
      <c r="T62" s="50"/>
      <c r="U62" s="52"/>
      <c r="V62" s="58" t="n">
        <f aca="false">IF(OR(B62="",I62="",F62="",F62=Cadastros!$E$4,F62=Cadastros!$E$9),999999,IF(COUNTIFS($B$5:$B$504,B62,$I$5:$I$504,"&gt;"&amp;I62)=0,YEAR(I62)*12+MONTH(I62),999999))</f>
        <v>999999</v>
      </c>
      <c r="W62" s="58" t="n">
        <f aca="false">IF(U62="",999999,YEAR(U62)*12+MONTH(U62))</f>
        <v>999999</v>
      </c>
      <c r="X62" s="58" t="n">
        <f aca="false">IF(F62=Cadastros!$E$6,3,IF(F62=Cadastros!$E$7,6,IF(F62=Cadastros!$E$8,12,1)))</f>
        <v>1</v>
      </c>
    </row>
    <row r="63" customFormat="false" ht="15" hidden="false" customHeight="false" outlineLevel="0" collapsed="false">
      <c r="A63" s="49" t="str">
        <f aca="false">IF(B63="","",ROW()-4)</f>
        <v/>
      </c>
      <c r="B63" s="50"/>
      <c r="C63" s="50"/>
      <c r="D63" s="50"/>
      <c r="E63" s="51"/>
      <c r="F63" s="51"/>
      <c r="G63" s="51"/>
      <c r="H63" s="52"/>
      <c r="I63" s="53"/>
      <c r="J63" s="54"/>
      <c r="K63" s="53"/>
      <c r="L63" s="54"/>
      <c r="M63" s="55" t="str">
        <f aca="false">IF(L63="","",L63-J63)</f>
        <v/>
      </c>
      <c r="N63" s="56" t="str">
        <f aca="true">IF(I63="","",IF(K63&lt;&gt;"","PAGO",IF(I63&lt;TODAY(),"VENCIDO",IF(I63=TODAY(),"VENCE HOJE","A VENCER"))))</f>
        <v/>
      </c>
      <c r="O63" s="57" t="str">
        <f aca="true">IF(OR(I63="",K63&lt;&gt;""),"",I63-TODAY())</f>
        <v/>
      </c>
      <c r="P63" s="51"/>
      <c r="Q63" s="51"/>
      <c r="R63" s="51"/>
      <c r="S63" s="50"/>
      <c r="T63" s="50"/>
      <c r="U63" s="52"/>
      <c r="V63" s="58" t="n">
        <f aca="false">IF(OR(B63="",I63="",F63="",F63=Cadastros!$E$4,F63=Cadastros!$E$9),999999,IF(COUNTIFS($B$5:$B$504,B63,$I$5:$I$504,"&gt;"&amp;I63)=0,YEAR(I63)*12+MONTH(I63),999999))</f>
        <v>999999</v>
      </c>
      <c r="W63" s="58" t="n">
        <f aca="false">IF(U63="",999999,YEAR(U63)*12+MONTH(U63))</f>
        <v>999999</v>
      </c>
      <c r="X63" s="58" t="n">
        <f aca="false">IF(F63=Cadastros!$E$6,3,IF(F63=Cadastros!$E$7,6,IF(F63=Cadastros!$E$8,12,1)))</f>
        <v>1</v>
      </c>
    </row>
    <row r="64" customFormat="false" ht="15" hidden="false" customHeight="false" outlineLevel="0" collapsed="false">
      <c r="A64" s="49" t="str">
        <f aca="false">IF(B64="","",ROW()-4)</f>
        <v/>
      </c>
      <c r="B64" s="50"/>
      <c r="C64" s="50"/>
      <c r="D64" s="50"/>
      <c r="E64" s="51"/>
      <c r="F64" s="51"/>
      <c r="G64" s="51"/>
      <c r="H64" s="52"/>
      <c r="I64" s="53"/>
      <c r="J64" s="54"/>
      <c r="K64" s="53"/>
      <c r="L64" s="54"/>
      <c r="M64" s="55" t="str">
        <f aca="false">IF(L64="","",L64-J64)</f>
        <v/>
      </c>
      <c r="N64" s="56" t="str">
        <f aca="true">IF(I64="","",IF(K64&lt;&gt;"","PAGO",IF(I64&lt;TODAY(),"VENCIDO",IF(I64=TODAY(),"VENCE HOJE","A VENCER"))))</f>
        <v/>
      </c>
      <c r="O64" s="57" t="str">
        <f aca="true">IF(OR(I64="",K64&lt;&gt;""),"",I64-TODAY())</f>
        <v/>
      </c>
      <c r="P64" s="51"/>
      <c r="Q64" s="51"/>
      <c r="R64" s="51"/>
      <c r="S64" s="50"/>
      <c r="T64" s="50"/>
      <c r="U64" s="52"/>
      <c r="V64" s="58" t="n">
        <f aca="false">IF(OR(B64="",I64="",F64="",F64=Cadastros!$E$4,F64=Cadastros!$E$9),999999,IF(COUNTIFS($B$5:$B$504,B64,$I$5:$I$504,"&gt;"&amp;I64)=0,YEAR(I64)*12+MONTH(I64),999999))</f>
        <v>999999</v>
      </c>
      <c r="W64" s="58" t="n">
        <f aca="false">IF(U64="",999999,YEAR(U64)*12+MONTH(U64))</f>
        <v>999999</v>
      </c>
      <c r="X64" s="58" t="n">
        <f aca="false">IF(F64=Cadastros!$E$6,3,IF(F64=Cadastros!$E$7,6,IF(F64=Cadastros!$E$8,12,1)))</f>
        <v>1</v>
      </c>
    </row>
    <row r="65" customFormat="false" ht="15" hidden="false" customHeight="false" outlineLevel="0" collapsed="false">
      <c r="A65" s="49" t="str">
        <f aca="false">IF(B65="","",ROW()-4)</f>
        <v/>
      </c>
      <c r="B65" s="50"/>
      <c r="C65" s="50"/>
      <c r="D65" s="50"/>
      <c r="E65" s="51"/>
      <c r="F65" s="51"/>
      <c r="G65" s="51"/>
      <c r="H65" s="52"/>
      <c r="I65" s="53"/>
      <c r="J65" s="54"/>
      <c r="K65" s="53"/>
      <c r="L65" s="54"/>
      <c r="M65" s="55" t="str">
        <f aca="false">IF(L65="","",L65-J65)</f>
        <v/>
      </c>
      <c r="N65" s="56" t="str">
        <f aca="true">IF(I65="","",IF(K65&lt;&gt;"","PAGO",IF(I65&lt;TODAY(),"VENCIDO",IF(I65=TODAY(),"VENCE HOJE","A VENCER"))))</f>
        <v/>
      </c>
      <c r="O65" s="57" t="str">
        <f aca="true">IF(OR(I65="",K65&lt;&gt;""),"",I65-TODAY())</f>
        <v/>
      </c>
      <c r="P65" s="51"/>
      <c r="Q65" s="51"/>
      <c r="R65" s="51"/>
      <c r="S65" s="50"/>
      <c r="T65" s="50"/>
      <c r="U65" s="52"/>
      <c r="V65" s="58" t="n">
        <f aca="false">IF(OR(B65="",I65="",F65="",F65=Cadastros!$E$4,F65=Cadastros!$E$9),999999,IF(COUNTIFS($B$5:$B$504,B65,$I$5:$I$504,"&gt;"&amp;I65)=0,YEAR(I65)*12+MONTH(I65),999999))</f>
        <v>999999</v>
      </c>
      <c r="W65" s="58" t="n">
        <f aca="false">IF(U65="",999999,YEAR(U65)*12+MONTH(U65))</f>
        <v>999999</v>
      </c>
      <c r="X65" s="58" t="n">
        <f aca="false">IF(F65=Cadastros!$E$6,3,IF(F65=Cadastros!$E$7,6,IF(F65=Cadastros!$E$8,12,1)))</f>
        <v>1</v>
      </c>
    </row>
    <row r="66" customFormat="false" ht="15" hidden="false" customHeight="false" outlineLevel="0" collapsed="false">
      <c r="A66" s="49" t="str">
        <f aca="false">IF(B66="","",ROW()-4)</f>
        <v/>
      </c>
      <c r="B66" s="50"/>
      <c r="C66" s="50"/>
      <c r="D66" s="50"/>
      <c r="E66" s="51"/>
      <c r="F66" s="51"/>
      <c r="G66" s="51"/>
      <c r="H66" s="52"/>
      <c r="I66" s="53"/>
      <c r="J66" s="54"/>
      <c r="K66" s="53"/>
      <c r="L66" s="54"/>
      <c r="M66" s="55" t="str">
        <f aca="false">IF(L66="","",L66-J66)</f>
        <v/>
      </c>
      <c r="N66" s="56" t="str">
        <f aca="true">IF(I66="","",IF(K66&lt;&gt;"","PAGO",IF(I66&lt;TODAY(),"VENCIDO",IF(I66=TODAY(),"VENCE HOJE","A VENCER"))))</f>
        <v/>
      </c>
      <c r="O66" s="57" t="str">
        <f aca="true">IF(OR(I66="",K66&lt;&gt;""),"",I66-TODAY())</f>
        <v/>
      </c>
      <c r="P66" s="51"/>
      <c r="Q66" s="51"/>
      <c r="R66" s="51"/>
      <c r="S66" s="50"/>
      <c r="T66" s="50"/>
      <c r="U66" s="52"/>
      <c r="V66" s="58" t="n">
        <f aca="false">IF(OR(B66="",I66="",F66="",F66=Cadastros!$E$4,F66=Cadastros!$E$9),999999,IF(COUNTIFS($B$5:$B$504,B66,$I$5:$I$504,"&gt;"&amp;I66)=0,YEAR(I66)*12+MONTH(I66),999999))</f>
        <v>999999</v>
      </c>
      <c r="W66" s="58" t="n">
        <f aca="false">IF(U66="",999999,YEAR(U66)*12+MONTH(U66))</f>
        <v>999999</v>
      </c>
      <c r="X66" s="58" t="n">
        <f aca="false">IF(F66=Cadastros!$E$6,3,IF(F66=Cadastros!$E$7,6,IF(F66=Cadastros!$E$8,12,1)))</f>
        <v>1</v>
      </c>
    </row>
    <row r="67" customFormat="false" ht="15" hidden="false" customHeight="false" outlineLevel="0" collapsed="false">
      <c r="A67" s="49" t="str">
        <f aca="false">IF(B67="","",ROW()-4)</f>
        <v/>
      </c>
      <c r="B67" s="50"/>
      <c r="C67" s="50"/>
      <c r="D67" s="50"/>
      <c r="E67" s="51"/>
      <c r="F67" s="51"/>
      <c r="G67" s="51"/>
      <c r="H67" s="52"/>
      <c r="I67" s="53"/>
      <c r="J67" s="54"/>
      <c r="K67" s="53"/>
      <c r="L67" s="54"/>
      <c r="M67" s="55" t="str">
        <f aca="false">IF(L67="","",L67-J67)</f>
        <v/>
      </c>
      <c r="N67" s="56" t="str">
        <f aca="true">IF(I67="","",IF(K67&lt;&gt;"","PAGO",IF(I67&lt;TODAY(),"VENCIDO",IF(I67=TODAY(),"VENCE HOJE","A VENCER"))))</f>
        <v/>
      </c>
      <c r="O67" s="57" t="str">
        <f aca="true">IF(OR(I67="",K67&lt;&gt;""),"",I67-TODAY())</f>
        <v/>
      </c>
      <c r="P67" s="51"/>
      <c r="Q67" s="51"/>
      <c r="R67" s="51"/>
      <c r="S67" s="50"/>
      <c r="T67" s="50"/>
      <c r="U67" s="52"/>
      <c r="V67" s="58" t="n">
        <f aca="false">IF(OR(B67="",I67="",F67="",F67=Cadastros!$E$4,F67=Cadastros!$E$9),999999,IF(COUNTIFS($B$5:$B$504,B67,$I$5:$I$504,"&gt;"&amp;I67)=0,YEAR(I67)*12+MONTH(I67),999999))</f>
        <v>999999</v>
      </c>
      <c r="W67" s="58" t="n">
        <f aca="false">IF(U67="",999999,YEAR(U67)*12+MONTH(U67))</f>
        <v>999999</v>
      </c>
      <c r="X67" s="58" t="n">
        <f aca="false">IF(F67=Cadastros!$E$6,3,IF(F67=Cadastros!$E$7,6,IF(F67=Cadastros!$E$8,12,1)))</f>
        <v>1</v>
      </c>
    </row>
    <row r="68" customFormat="false" ht="15" hidden="false" customHeight="false" outlineLevel="0" collapsed="false">
      <c r="A68" s="49" t="str">
        <f aca="false">IF(B68="","",ROW()-4)</f>
        <v/>
      </c>
      <c r="B68" s="50"/>
      <c r="C68" s="50"/>
      <c r="D68" s="50"/>
      <c r="E68" s="51"/>
      <c r="F68" s="51"/>
      <c r="G68" s="51"/>
      <c r="H68" s="52"/>
      <c r="I68" s="53"/>
      <c r="J68" s="54"/>
      <c r="K68" s="53"/>
      <c r="L68" s="54"/>
      <c r="M68" s="55" t="str">
        <f aca="false">IF(L68="","",L68-J68)</f>
        <v/>
      </c>
      <c r="N68" s="56" t="str">
        <f aca="true">IF(I68="","",IF(K68&lt;&gt;"","PAGO",IF(I68&lt;TODAY(),"VENCIDO",IF(I68=TODAY(),"VENCE HOJE","A VENCER"))))</f>
        <v/>
      </c>
      <c r="O68" s="57" t="str">
        <f aca="true">IF(OR(I68="",K68&lt;&gt;""),"",I68-TODAY())</f>
        <v/>
      </c>
      <c r="P68" s="51"/>
      <c r="Q68" s="51"/>
      <c r="R68" s="51"/>
      <c r="S68" s="50"/>
      <c r="T68" s="50"/>
      <c r="U68" s="52"/>
      <c r="V68" s="58" t="n">
        <f aca="false">IF(OR(B68="",I68="",F68="",F68=Cadastros!$E$4,F68=Cadastros!$E$9),999999,IF(COUNTIFS($B$5:$B$504,B68,$I$5:$I$504,"&gt;"&amp;I68)=0,YEAR(I68)*12+MONTH(I68),999999))</f>
        <v>999999</v>
      </c>
      <c r="W68" s="58" t="n">
        <f aca="false">IF(U68="",999999,YEAR(U68)*12+MONTH(U68))</f>
        <v>999999</v>
      </c>
      <c r="X68" s="58" t="n">
        <f aca="false">IF(F68=Cadastros!$E$6,3,IF(F68=Cadastros!$E$7,6,IF(F68=Cadastros!$E$8,12,1)))</f>
        <v>1</v>
      </c>
    </row>
    <row r="69" customFormat="false" ht="15" hidden="false" customHeight="false" outlineLevel="0" collapsed="false">
      <c r="A69" s="49" t="str">
        <f aca="false">IF(B69="","",ROW()-4)</f>
        <v/>
      </c>
      <c r="B69" s="50"/>
      <c r="C69" s="50"/>
      <c r="D69" s="50"/>
      <c r="E69" s="51"/>
      <c r="F69" s="51"/>
      <c r="G69" s="51"/>
      <c r="H69" s="52"/>
      <c r="I69" s="53"/>
      <c r="J69" s="54"/>
      <c r="K69" s="53"/>
      <c r="L69" s="54"/>
      <c r="M69" s="55" t="str">
        <f aca="false">IF(L69="","",L69-J69)</f>
        <v/>
      </c>
      <c r="N69" s="56" t="str">
        <f aca="true">IF(I69="","",IF(K69&lt;&gt;"","PAGO",IF(I69&lt;TODAY(),"VENCIDO",IF(I69=TODAY(),"VENCE HOJE","A VENCER"))))</f>
        <v/>
      </c>
      <c r="O69" s="57" t="str">
        <f aca="true">IF(OR(I69="",K69&lt;&gt;""),"",I69-TODAY())</f>
        <v/>
      </c>
      <c r="P69" s="51"/>
      <c r="Q69" s="51"/>
      <c r="R69" s="51"/>
      <c r="S69" s="50"/>
      <c r="T69" s="50"/>
      <c r="U69" s="52"/>
      <c r="V69" s="58" t="n">
        <f aca="false">IF(OR(B69="",I69="",F69="",F69=Cadastros!$E$4,F69=Cadastros!$E$9),999999,IF(COUNTIFS($B$5:$B$504,B69,$I$5:$I$504,"&gt;"&amp;I69)=0,YEAR(I69)*12+MONTH(I69),999999))</f>
        <v>999999</v>
      </c>
      <c r="W69" s="58" t="n">
        <f aca="false">IF(U69="",999999,YEAR(U69)*12+MONTH(U69))</f>
        <v>999999</v>
      </c>
      <c r="X69" s="58" t="n">
        <f aca="false">IF(F69=Cadastros!$E$6,3,IF(F69=Cadastros!$E$7,6,IF(F69=Cadastros!$E$8,12,1)))</f>
        <v>1</v>
      </c>
    </row>
    <row r="70" customFormat="false" ht="15" hidden="false" customHeight="false" outlineLevel="0" collapsed="false">
      <c r="A70" s="49" t="str">
        <f aca="false">IF(B70="","",ROW()-4)</f>
        <v/>
      </c>
      <c r="B70" s="50"/>
      <c r="C70" s="50"/>
      <c r="D70" s="50"/>
      <c r="E70" s="51"/>
      <c r="F70" s="51"/>
      <c r="G70" s="51"/>
      <c r="H70" s="52"/>
      <c r="I70" s="53"/>
      <c r="J70" s="54"/>
      <c r="K70" s="53"/>
      <c r="L70" s="54"/>
      <c r="M70" s="55" t="str">
        <f aca="false">IF(L70="","",L70-J70)</f>
        <v/>
      </c>
      <c r="N70" s="56" t="str">
        <f aca="true">IF(I70="","",IF(K70&lt;&gt;"","PAGO",IF(I70&lt;TODAY(),"VENCIDO",IF(I70=TODAY(),"VENCE HOJE","A VENCER"))))</f>
        <v/>
      </c>
      <c r="O70" s="57" t="str">
        <f aca="true">IF(OR(I70="",K70&lt;&gt;""),"",I70-TODAY())</f>
        <v/>
      </c>
      <c r="P70" s="51"/>
      <c r="Q70" s="51"/>
      <c r="R70" s="51"/>
      <c r="S70" s="50"/>
      <c r="T70" s="50"/>
      <c r="U70" s="52"/>
      <c r="V70" s="58" t="n">
        <f aca="false">IF(OR(B70="",I70="",F70="",F70=Cadastros!$E$4,F70=Cadastros!$E$9),999999,IF(COUNTIFS($B$5:$B$504,B70,$I$5:$I$504,"&gt;"&amp;I70)=0,YEAR(I70)*12+MONTH(I70),999999))</f>
        <v>999999</v>
      </c>
      <c r="W70" s="58" t="n">
        <f aca="false">IF(U70="",999999,YEAR(U70)*12+MONTH(U70))</f>
        <v>999999</v>
      </c>
      <c r="X70" s="58" t="n">
        <f aca="false">IF(F70=Cadastros!$E$6,3,IF(F70=Cadastros!$E$7,6,IF(F70=Cadastros!$E$8,12,1)))</f>
        <v>1</v>
      </c>
    </row>
    <row r="71" customFormat="false" ht="15" hidden="false" customHeight="false" outlineLevel="0" collapsed="false">
      <c r="A71" s="49" t="str">
        <f aca="false">IF(B71="","",ROW()-4)</f>
        <v/>
      </c>
      <c r="B71" s="50"/>
      <c r="C71" s="50"/>
      <c r="D71" s="50"/>
      <c r="E71" s="51"/>
      <c r="F71" s="51"/>
      <c r="G71" s="51"/>
      <c r="H71" s="52"/>
      <c r="I71" s="53"/>
      <c r="J71" s="54"/>
      <c r="K71" s="53"/>
      <c r="L71" s="54"/>
      <c r="M71" s="55" t="str">
        <f aca="false">IF(L71="","",L71-J71)</f>
        <v/>
      </c>
      <c r="N71" s="56" t="str">
        <f aca="true">IF(I71="","",IF(K71&lt;&gt;"","PAGO",IF(I71&lt;TODAY(),"VENCIDO",IF(I71=TODAY(),"VENCE HOJE","A VENCER"))))</f>
        <v/>
      </c>
      <c r="O71" s="57" t="str">
        <f aca="true">IF(OR(I71="",K71&lt;&gt;""),"",I71-TODAY())</f>
        <v/>
      </c>
      <c r="P71" s="51"/>
      <c r="Q71" s="51"/>
      <c r="R71" s="51"/>
      <c r="S71" s="50"/>
      <c r="T71" s="50"/>
      <c r="U71" s="52"/>
      <c r="V71" s="58" t="n">
        <f aca="false">IF(OR(B71="",I71="",F71="",F71=Cadastros!$E$4,F71=Cadastros!$E$9),999999,IF(COUNTIFS($B$5:$B$504,B71,$I$5:$I$504,"&gt;"&amp;I71)=0,YEAR(I71)*12+MONTH(I71),999999))</f>
        <v>999999</v>
      </c>
      <c r="W71" s="58" t="n">
        <f aca="false">IF(U71="",999999,YEAR(U71)*12+MONTH(U71))</f>
        <v>999999</v>
      </c>
      <c r="X71" s="58" t="n">
        <f aca="false">IF(F71=Cadastros!$E$6,3,IF(F71=Cadastros!$E$7,6,IF(F71=Cadastros!$E$8,12,1)))</f>
        <v>1</v>
      </c>
    </row>
    <row r="72" customFormat="false" ht="15" hidden="false" customHeight="false" outlineLevel="0" collapsed="false">
      <c r="A72" s="49" t="str">
        <f aca="false">IF(B72="","",ROW()-4)</f>
        <v/>
      </c>
      <c r="B72" s="50"/>
      <c r="C72" s="50"/>
      <c r="D72" s="50"/>
      <c r="E72" s="51"/>
      <c r="F72" s="51"/>
      <c r="G72" s="51"/>
      <c r="H72" s="52"/>
      <c r="I72" s="53"/>
      <c r="J72" s="54"/>
      <c r="K72" s="53"/>
      <c r="L72" s="54"/>
      <c r="M72" s="55" t="str">
        <f aca="false">IF(L72="","",L72-J72)</f>
        <v/>
      </c>
      <c r="N72" s="56" t="str">
        <f aca="true">IF(I72="","",IF(K72&lt;&gt;"","PAGO",IF(I72&lt;TODAY(),"VENCIDO",IF(I72=TODAY(),"VENCE HOJE","A VENCER"))))</f>
        <v/>
      </c>
      <c r="O72" s="57" t="str">
        <f aca="true">IF(OR(I72="",K72&lt;&gt;""),"",I72-TODAY())</f>
        <v/>
      </c>
      <c r="P72" s="51"/>
      <c r="Q72" s="51"/>
      <c r="R72" s="51"/>
      <c r="S72" s="50"/>
      <c r="T72" s="50"/>
      <c r="U72" s="52"/>
      <c r="V72" s="58" t="n">
        <f aca="false">IF(OR(B72="",I72="",F72="",F72=Cadastros!$E$4,F72=Cadastros!$E$9),999999,IF(COUNTIFS($B$5:$B$504,B72,$I$5:$I$504,"&gt;"&amp;I72)=0,YEAR(I72)*12+MONTH(I72),999999))</f>
        <v>999999</v>
      </c>
      <c r="W72" s="58" t="n">
        <f aca="false">IF(U72="",999999,YEAR(U72)*12+MONTH(U72))</f>
        <v>999999</v>
      </c>
      <c r="X72" s="58" t="n">
        <f aca="false">IF(F72=Cadastros!$E$6,3,IF(F72=Cadastros!$E$7,6,IF(F72=Cadastros!$E$8,12,1)))</f>
        <v>1</v>
      </c>
    </row>
    <row r="73" customFormat="false" ht="15" hidden="false" customHeight="false" outlineLevel="0" collapsed="false">
      <c r="A73" s="49" t="str">
        <f aca="false">IF(B73="","",ROW()-4)</f>
        <v/>
      </c>
      <c r="B73" s="50"/>
      <c r="C73" s="50"/>
      <c r="D73" s="50"/>
      <c r="E73" s="51"/>
      <c r="F73" s="51"/>
      <c r="G73" s="51"/>
      <c r="H73" s="52"/>
      <c r="I73" s="53"/>
      <c r="J73" s="54"/>
      <c r="K73" s="53"/>
      <c r="L73" s="54"/>
      <c r="M73" s="55" t="str">
        <f aca="false">IF(L73="","",L73-J73)</f>
        <v/>
      </c>
      <c r="N73" s="56" t="str">
        <f aca="true">IF(I73="","",IF(K73&lt;&gt;"","PAGO",IF(I73&lt;TODAY(),"VENCIDO",IF(I73=TODAY(),"VENCE HOJE","A VENCER"))))</f>
        <v/>
      </c>
      <c r="O73" s="57" t="str">
        <f aca="true">IF(OR(I73="",K73&lt;&gt;""),"",I73-TODAY())</f>
        <v/>
      </c>
      <c r="P73" s="51"/>
      <c r="Q73" s="51"/>
      <c r="R73" s="51"/>
      <c r="S73" s="50"/>
      <c r="T73" s="50"/>
      <c r="U73" s="52"/>
      <c r="V73" s="58" t="n">
        <f aca="false">IF(OR(B73="",I73="",F73="",F73=Cadastros!$E$4,F73=Cadastros!$E$9),999999,IF(COUNTIFS($B$5:$B$504,B73,$I$5:$I$504,"&gt;"&amp;I73)=0,YEAR(I73)*12+MONTH(I73),999999))</f>
        <v>999999</v>
      </c>
      <c r="W73" s="58" t="n">
        <f aca="false">IF(U73="",999999,YEAR(U73)*12+MONTH(U73))</f>
        <v>999999</v>
      </c>
      <c r="X73" s="58" t="n">
        <f aca="false">IF(F73=Cadastros!$E$6,3,IF(F73=Cadastros!$E$7,6,IF(F73=Cadastros!$E$8,12,1)))</f>
        <v>1</v>
      </c>
    </row>
    <row r="74" customFormat="false" ht="15" hidden="false" customHeight="false" outlineLevel="0" collapsed="false">
      <c r="A74" s="49" t="str">
        <f aca="false">IF(B74="","",ROW()-4)</f>
        <v/>
      </c>
      <c r="B74" s="50"/>
      <c r="C74" s="50"/>
      <c r="D74" s="50"/>
      <c r="E74" s="51"/>
      <c r="F74" s="51"/>
      <c r="G74" s="51"/>
      <c r="H74" s="52"/>
      <c r="I74" s="53"/>
      <c r="J74" s="54"/>
      <c r="K74" s="53"/>
      <c r="L74" s="54"/>
      <c r="M74" s="55" t="str">
        <f aca="false">IF(L74="","",L74-J74)</f>
        <v/>
      </c>
      <c r="N74" s="56" t="str">
        <f aca="true">IF(I74="","",IF(K74&lt;&gt;"","PAGO",IF(I74&lt;TODAY(),"VENCIDO",IF(I74=TODAY(),"VENCE HOJE","A VENCER"))))</f>
        <v/>
      </c>
      <c r="O74" s="57" t="str">
        <f aca="true">IF(OR(I74="",K74&lt;&gt;""),"",I74-TODAY())</f>
        <v/>
      </c>
      <c r="P74" s="51"/>
      <c r="Q74" s="51"/>
      <c r="R74" s="51"/>
      <c r="S74" s="50"/>
      <c r="T74" s="50"/>
      <c r="U74" s="52"/>
      <c r="V74" s="58" t="n">
        <f aca="false">IF(OR(B74="",I74="",F74="",F74=Cadastros!$E$4,F74=Cadastros!$E$9),999999,IF(COUNTIFS($B$5:$B$504,B74,$I$5:$I$504,"&gt;"&amp;I74)=0,YEAR(I74)*12+MONTH(I74),999999))</f>
        <v>999999</v>
      </c>
      <c r="W74" s="58" t="n">
        <f aca="false">IF(U74="",999999,YEAR(U74)*12+MONTH(U74))</f>
        <v>999999</v>
      </c>
      <c r="X74" s="58" t="n">
        <f aca="false">IF(F74=Cadastros!$E$6,3,IF(F74=Cadastros!$E$7,6,IF(F74=Cadastros!$E$8,12,1)))</f>
        <v>1</v>
      </c>
    </row>
    <row r="75" customFormat="false" ht="15" hidden="false" customHeight="false" outlineLevel="0" collapsed="false">
      <c r="A75" s="49" t="str">
        <f aca="false">IF(B75="","",ROW()-4)</f>
        <v/>
      </c>
      <c r="B75" s="50"/>
      <c r="C75" s="50"/>
      <c r="D75" s="50"/>
      <c r="E75" s="51"/>
      <c r="F75" s="51"/>
      <c r="G75" s="51"/>
      <c r="H75" s="52"/>
      <c r="I75" s="53"/>
      <c r="J75" s="54"/>
      <c r="K75" s="53"/>
      <c r="L75" s="54"/>
      <c r="M75" s="55" t="str">
        <f aca="false">IF(L75="","",L75-J75)</f>
        <v/>
      </c>
      <c r="N75" s="56" t="str">
        <f aca="true">IF(I75="","",IF(K75&lt;&gt;"","PAGO",IF(I75&lt;TODAY(),"VENCIDO",IF(I75=TODAY(),"VENCE HOJE","A VENCER"))))</f>
        <v/>
      </c>
      <c r="O75" s="57" t="str">
        <f aca="true">IF(OR(I75="",K75&lt;&gt;""),"",I75-TODAY())</f>
        <v/>
      </c>
      <c r="P75" s="51"/>
      <c r="Q75" s="51"/>
      <c r="R75" s="51"/>
      <c r="S75" s="50"/>
      <c r="T75" s="50"/>
      <c r="U75" s="52"/>
      <c r="V75" s="58" t="n">
        <f aca="false">IF(OR(B75="",I75="",F75="",F75=Cadastros!$E$4,F75=Cadastros!$E$9),999999,IF(COUNTIFS($B$5:$B$504,B75,$I$5:$I$504,"&gt;"&amp;I75)=0,YEAR(I75)*12+MONTH(I75),999999))</f>
        <v>999999</v>
      </c>
      <c r="W75" s="58" t="n">
        <f aca="false">IF(U75="",999999,YEAR(U75)*12+MONTH(U75))</f>
        <v>999999</v>
      </c>
      <c r="X75" s="58" t="n">
        <f aca="false">IF(F75=Cadastros!$E$6,3,IF(F75=Cadastros!$E$7,6,IF(F75=Cadastros!$E$8,12,1)))</f>
        <v>1</v>
      </c>
    </row>
    <row r="76" customFormat="false" ht="15" hidden="false" customHeight="false" outlineLevel="0" collapsed="false">
      <c r="A76" s="49" t="str">
        <f aca="false">IF(B76="","",ROW()-4)</f>
        <v/>
      </c>
      <c r="B76" s="50"/>
      <c r="C76" s="50"/>
      <c r="D76" s="50"/>
      <c r="E76" s="51"/>
      <c r="F76" s="51"/>
      <c r="G76" s="51"/>
      <c r="H76" s="52"/>
      <c r="I76" s="53"/>
      <c r="J76" s="54"/>
      <c r="K76" s="53"/>
      <c r="L76" s="54"/>
      <c r="M76" s="55" t="str">
        <f aca="false">IF(L76="","",L76-J76)</f>
        <v/>
      </c>
      <c r="N76" s="56" t="str">
        <f aca="true">IF(I76="","",IF(K76&lt;&gt;"","PAGO",IF(I76&lt;TODAY(),"VENCIDO",IF(I76=TODAY(),"VENCE HOJE","A VENCER"))))</f>
        <v/>
      </c>
      <c r="O76" s="57" t="str">
        <f aca="true">IF(OR(I76="",K76&lt;&gt;""),"",I76-TODAY())</f>
        <v/>
      </c>
      <c r="P76" s="51"/>
      <c r="Q76" s="51"/>
      <c r="R76" s="51"/>
      <c r="S76" s="50"/>
      <c r="T76" s="50"/>
      <c r="U76" s="52"/>
      <c r="V76" s="58" t="n">
        <f aca="false">IF(OR(B76="",I76="",F76="",F76=Cadastros!$E$4,F76=Cadastros!$E$9),999999,IF(COUNTIFS($B$5:$B$504,B76,$I$5:$I$504,"&gt;"&amp;I76)=0,YEAR(I76)*12+MONTH(I76),999999))</f>
        <v>999999</v>
      </c>
      <c r="W76" s="58" t="n">
        <f aca="false">IF(U76="",999999,YEAR(U76)*12+MONTH(U76))</f>
        <v>999999</v>
      </c>
      <c r="X76" s="58" t="n">
        <f aca="false">IF(F76=Cadastros!$E$6,3,IF(F76=Cadastros!$E$7,6,IF(F76=Cadastros!$E$8,12,1)))</f>
        <v>1</v>
      </c>
    </row>
    <row r="77" customFormat="false" ht="15" hidden="false" customHeight="false" outlineLevel="0" collapsed="false">
      <c r="A77" s="49" t="str">
        <f aca="false">IF(B77="","",ROW()-4)</f>
        <v/>
      </c>
      <c r="B77" s="50"/>
      <c r="C77" s="50"/>
      <c r="D77" s="50"/>
      <c r="E77" s="51"/>
      <c r="F77" s="51"/>
      <c r="G77" s="51"/>
      <c r="H77" s="52"/>
      <c r="I77" s="53"/>
      <c r="J77" s="54"/>
      <c r="K77" s="53"/>
      <c r="L77" s="54"/>
      <c r="M77" s="55" t="str">
        <f aca="false">IF(L77="","",L77-J77)</f>
        <v/>
      </c>
      <c r="N77" s="56" t="str">
        <f aca="true">IF(I77="","",IF(K77&lt;&gt;"","PAGO",IF(I77&lt;TODAY(),"VENCIDO",IF(I77=TODAY(),"VENCE HOJE","A VENCER"))))</f>
        <v/>
      </c>
      <c r="O77" s="57" t="str">
        <f aca="true">IF(OR(I77="",K77&lt;&gt;""),"",I77-TODAY())</f>
        <v/>
      </c>
      <c r="P77" s="51"/>
      <c r="Q77" s="51"/>
      <c r="R77" s="51"/>
      <c r="S77" s="50"/>
      <c r="T77" s="50"/>
      <c r="U77" s="52"/>
      <c r="V77" s="58" t="n">
        <f aca="false">IF(OR(B77="",I77="",F77="",F77=Cadastros!$E$4,F77=Cadastros!$E$9),999999,IF(COUNTIFS($B$5:$B$504,B77,$I$5:$I$504,"&gt;"&amp;I77)=0,YEAR(I77)*12+MONTH(I77),999999))</f>
        <v>999999</v>
      </c>
      <c r="W77" s="58" t="n">
        <f aca="false">IF(U77="",999999,YEAR(U77)*12+MONTH(U77))</f>
        <v>999999</v>
      </c>
      <c r="X77" s="58" t="n">
        <f aca="false">IF(F77=Cadastros!$E$6,3,IF(F77=Cadastros!$E$7,6,IF(F77=Cadastros!$E$8,12,1)))</f>
        <v>1</v>
      </c>
    </row>
    <row r="78" customFormat="false" ht="15" hidden="false" customHeight="false" outlineLevel="0" collapsed="false">
      <c r="A78" s="49" t="str">
        <f aca="false">IF(B78="","",ROW()-4)</f>
        <v/>
      </c>
      <c r="B78" s="50"/>
      <c r="C78" s="50"/>
      <c r="D78" s="50"/>
      <c r="E78" s="51"/>
      <c r="F78" s="51"/>
      <c r="G78" s="51"/>
      <c r="H78" s="52"/>
      <c r="I78" s="53"/>
      <c r="J78" s="54"/>
      <c r="K78" s="53"/>
      <c r="L78" s="54"/>
      <c r="M78" s="55" t="str">
        <f aca="false">IF(L78="","",L78-J78)</f>
        <v/>
      </c>
      <c r="N78" s="56" t="str">
        <f aca="true">IF(I78="","",IF(K78&lt;&gt;"","PAGO",IF(I78&lt;TODAY(),"VENCIDO",IF(I78=TODAY(),"VENCE HOJE","A VENCER"))))</f>
        <v/>
      </c>
      <c r="O78" s="57" t="str">
        <f aca="true">IF(OR(I78="",K78&lt;&gt;""),"",I78-TODAY())</f>
        <v/>
      </c>
      <c r="P78" s="51"/>
      <c r="Q78" s="51"/>
      <c r="R78" s="51"/>
      <c r="S78" s="50"/>
      <c r="T78" s="50"/>
      <c r="U78" s="52"/>
      <c r="V78" s="58" t="n">
        <f aca="false">IF(OR(B78="",I78="",F78="",F78=Cadastros!$E$4,F78=Cadastros!$E$9),999999,IF(COUNTIFS($B$5:$B$504,B78,$I$5:$I$504,"&gt;"&amp;I78)=0,YEAR(I78)*12+MONTH(I78),999999))</f>
        <v>999999</v>
      </c>
      <c r="W78" s="58" t="n">
        <f aca="false">IF(U78="",999999,YEAR(U78)*12+MONTH(U78))</f>
        <v>999999</v>
      </c>
      <c r="X78" s="58" t="n">
        <f aca="false">IF(F78=Cadastros!$E$6,3,IF(F78=Cadastros!$E$7,6,IF(F78=Cadastros!$E$8,12,1)))</f>
        <v>1</v>
      </c>
    </row>
    <row r="79" customFormat="false" ht="15" hidden="false" customHeight="false" outlineLevel="0" collapsed="false">
      <c r="A79" s="49" t="str">
        <f aca="false">IF(B79="","",ROW()-4)</f>
        <v/>
      </c>
      <c r="B79" s="50"/>
      <c r="C79" s="50"/>
      <c r="D79" s="50"/>
      <c r="E79" s="51"/>
      <c r="F79" s="51"/>
      <c r="G79" s="51"/>
      <c r="H79" s="52"/>
      <c r="I79" s="53"/>
      <c r="J79" s="54"/>
      <c r="K79" s="53"/>
      <c r="L79" s="54"/>
      <c r="M79" s="55" t="str">
        <f aca="false">IF(L79="","",L79-J79)</f>
        <v/>
      </c>
      <c r="N79" s="56" t="str">
        <f aca="true">IF(I79="","",IF(K79&lt;&gt;"","PAGO",IF(I79&lt;TODAY(),"VENCIDO",IF(I79=TODAY(),"VENCE HOJE","A VENCER"))))</f>
        <v/>
      </c>
      <c r="O79" s="57" t="str">
        <f aca="true">IF(OR(I79="",K79&lt;&gt;""),"",I79-TODAY())</f>
        <v/>
      </c>
      <c r="P79" s="51"/>
      <c r="Q79" s="51"/>
      <c r="R79" s="51"/>
      <c r="S79" s="50"/>
      <c r="T79" s="50"/>
      <c r="U79" s="52"/>
      <c r="V79" s="58" t="n">
        <f aca="false">IF(OR(B79="",I79="",F79="",F79=Cadastros!$E$4,F79=Cadastros!$E$9),999999,IF(COUNTIFS($B$5:$B$504,B79,$I$5:$I$504,"&gt;"&amp;I79)=0,YEAR(I79)*12+MONTH(I79),999999))</f>
        <v>999999</v>
      </c>
      <c r="W79" s="58" t="n">
        <f aca="false">IF(U79="",999999,YEAR(U79)*12+MONTH(U79))</f>
        <v>999999</v>
      </c>
      <c r="X79" s="58" t="n">
        <f aca="false">IF(F79=Cadastros!$E$6,3,IF(F79=Cadastros!$E$7,6,IF(F79=Cadastros!$E$8,12,1)))</f>
        <v>1</v>
      </c>
    </row>
    <row r="80" customFormat="false" ht="15" hidden="false" customHeight="false" outlineLevel="0" collapsed="false">
      <c r="A80" s="49" t="str">
        <f aca="false">IF(B80="","",ROW()-4)</f>
        <v/>
      </c>
      <c r="B80" s="50"/>
      <c r="C80" s="50"/>
      <c r="D80" s="50"/>
      <c r="E80" s="51"/>
      <c r="F80" s="51"/>
      <c r="G80" s="51"/>
      <c r="H80" s="52"/>
      <c r="I80" s="53"/>
      <c r="J80" s="54"/>
      <c r="K80" s="53"/>
      <c r="L80" s="54"/>
      <c r="M80" s="55" t="str">
        <f aca="false">IF(L80="","",L80-J80)</f>
        <v/>
      </c>
      <c r="N80" s="56" t="str">
        <f aca="true">IF(I80="","",IF(K80&lt;&gt;"","PAGO",IF(I80&lt;TODAY(),"VENCIDO",IF(I80=TODAY(),"VENCE HOJE","A VENCER"))))</f>
        <v/>
      </c>
      <c r="O80" s="57" t="str">
        <f aca="true">IF(OR(I80="",K80&lt;&gt;""),"",I80-TODAY())</f>
        <v/>
      </c>
      <c r="P80" s="51"/>
      <c r="Q80" s="51"/>
      <c r="R80" s="51"/>
      <c r="S80" s="50"/>
      <c r="T80" s="50"/>
      <c r="U80" s="52"/>
      <c r="V80" s="58" t="n">
        <f aca="false">IF(OR(B80="",I80="",F80="",F80=Cadastros!$E$4,F80=Cadastros!$E$9),999999,IF(COUNTIFS($B$5:$B$504,B80,$I$5:$I$504,"&gt;"&amp;I80)=0,YEAR(I80)*12+MONTH(I80),999999))</f>
        <v>999999</v>
      </c>
      <c r="W80" s="58" t="n">
        <f aca="false">IF(U80="",999999,YEAR(U80)*12+MONTH(U80))</f>
        <v>999999</v>
      </c>
      <c r="X80" s="58" t="n">
        <f aca="false">IF(F80=Cadastros!$E$6,3,IF(F80=Cadastros!$E$7,6,IF(F80=Cadastros!$E$8,12,1)))</f>
        <v>1</v>
      </c>
    </row>
    <row r="81" customFormat="false" ht="15" hidden="false" customHeight="false" outlineLevel="0" collapsed="false">
      <c r="A81" s="49" t="str">
        <f aca="false">IF(B81="","",ROW()-4)</f>
        <v/>
      </c>
      <c r="B81" s="50"/>
      <c r="C81" s="50"/>
      <c r="D81" s="50"/>
      <c r="E81" s="51"/>
      <c r="F81" s="51"/>
      <c r="G81" s="51"/>
      <c r="H81" s="52"/>
      <c r="I81" s="53"/>
      <c r="J81" s="54"/>
      <c r="K81" s="53"/>
      <c r="L81" s="54"/>
      <c r="M81" s="55" t="str">
        <f aca="false">IF(L81="","",L81-J81)</f>
        <v/>
      </c>
      <c r="N81" s="56" t="str">
        <f aca="true">IF(I81="","",IF(K81&lt;&gt;"","PAGO",IF(I81&lt;TODAY(),"VENCIDO",IF(I81=TODAY(),"VENCE HOJE","A VENCER"))))</f>
        <v/>
      </c>
      <c r="O81" s="57" t="str">
        <f aca="true">IF(OR(I81="",K81&lt;&gt;""),"",I81-TODAY())</f>
        <v/>
      </c>
      <c r="P81" s="51"/>
      <c r="Q81" s="51"/>
      <c r="R81" s="51"/>
      <c r="S81" s="50"/>
      <c r="T81" s="50"/>
      <c r="U81" s="52"/>
      <c r="V81" s="58" t="n">
        <f aca="false">IF(OR(B81="",I81="",F81="",F81=Cadastros!$E$4,F81=Cadastros!$E$9),999999,IF(COUNTIFS($B$5:$B$504,B81,$I$5:$I$504,"&gt;"&amp;I81)=0,YEAR(I81)*12+MONTH(I81),999999))</f>
        <v>999999</v>
      </c>
      <c r="W81" s="58" t="n">
        <f aca="false">IF(U81="",999999,YEAR(U81)*12+MONTH(U81))</f>
        <v>999999</v>
      </c>
      <c r="X81" s="58" t="n">
        <f aca="false">IF(F81=Cadastros!$E$6,3,IF(F81=Cadastros!$E$7,6,IF(F81=Cadastros!$E$8,12,1)))</f>
        <v>1</v>
      </c>
    </row>
    <row r="82" customFormat="false" ht="15" hidden="false" customHeight="false" outlineLevel="0" collapsed="false">
      <c r="A82" s="49" t="str">
        <f aca="false">IF(B82="","",ROW()-4)</f>
        <v/>
      </c>
      <c r="B82" s="50"/>
      <c r="C82" s="50"/>
      <c r="D82" s="50"/>
      <c r="E82" s="51"/>
      <c r="F82" s="51"/>
      <c r="G82" s="51"/>
      <c r="H82" s="52"/>
      <c r="I82" s="53"/>
      <c r="J82" s="54"/>
      <c r="K82" s="53"/>
      <c r="L82" s="54"/>
      <c r="M82" s="55" t="str">
        <f aca="false">IF(L82="","",L82-J82)</f>
        <v/>
      </c>
      <c r="N82" s="56" t="str">
        <f aca="true">IF(I82="","",IF(K82&lt;&gt;"","PAGO",IF(I82&lt;TODAY(),"VENCIDO",IF(I82=TODAY(),"VENCE HOJE","A VENCER"))))</f>
        <v/>
      </c>
      <c r="O82" s="57" t="str">
        <f aca="true">IF(OR(I82="",K82&lt;&gt;""),"",I82-TODAY())</f>
        <v/>
      </c>
      <c r="P82" s="51"/>
      <c r="Q82" s="51"/>
      <c r="R82" s="51"/>
      <c r="S82" s="50"/>
      <c r="T82" s="50"/>
      <c r="U82" s="52"/>
      <c r="V82" s="58" t="n">
        <f aca="false">IF(OR(B82="",I82="",F82="",F82=Cadastros!$E$4,F82=Cadastros!$E$9),999999,IF(COUNTIFS($B$5:$B$504,B82,$I$5:$I$504,"&gt;"&amp;I82)=0,YEAR(I82)*12+MONTH(I82),999999))</f>
        <v>999999</v>
      </c>
      <c r="W82" s="58" t="n">
        <f aca="false">IF(U82="",999999,YEAR(U82)*12+MONTH(U82))</f>
        <v>999999</v>
      </c>
      <c r="X82" s="58" t="n">
        <f aca="false">IF(F82=Cadastros!$E$6,3,IF(F82=Cadastros!$E$7,6,IF(F82=Cadastros!$E$8,12,1)))</f>
        <v>1</v>
      </c>
    </row>
    <row r="83" customFormat="false" ht="15" hidden="false" customHeight="false" outlineLevel="0" collapsed="false">
      <c r="A83" s="49" t="str">
        <f aca="false">IF(B83="","",ROW()-4)</f>
        <v/>
      </c>
      <c r="B83" s="50"/>
      <c r="C83" s="50"/>
      <c r="D83" s="50"/>
      <c r="E83" s="51"/>
      <c r="F83" s="51"/>
      <c r="G83" s="51"/>
      <c r="H83" s="52"/>
      <c r="I83" s="53"/>
      <c r="J83" s="54"/>
      <c r="K83" s="53"/>
      <c r="L83" s="54"/>
      <c r="M83" s="55" t="str">
        <f aca="false">IF(L83="","",L83-J83)</f>
        <v/>
      </c>
      <c r="N83" s="56" t="str">
        <f aca="true">IF(I83="","",IF(K83&lt;&gt;"","PAGO",IF(I83&lt;TODAY(),"VENCIDO",IF(I83=TODAY(),"VENCE HOJE","A VENCER"))))</f>
        <v/>
      </c>
      <c r="O83" s="57" t="str">
        <f aca="true">IF(OR(I83="",K83&lt;&gt;""),"",I83-TODAY())</f>
        <v/>
      </c>
      <c r="P83" s="51"/>
      <c r="Q83" s="51"/>
      <c r="R83" s="51"/>
      <c r="S83" s="50"/>
      <c r="T83" s="50"/>
      <c r="U83" s="52"/>
      <c r="V83" s="58" t="n">
        <f aca="false">IF(OR(B83="",I83="",F83="",F83=Cadastros!$E$4,F83=Cadastros!$E$9),999999,IF(COUNTIFS($B$5:$B$504,B83,$I$5:$I$504,"&gt;"&amp;I83)=0,YEAR(I83)*12+MONTH(I83),999999))</f>
        <v>999999</v>
      </c>
      <c r="W83" s="58" t="n">
        <f aca="false">IF(U83="",999999,YEAR(U83)*12+MONTH(U83))</f>
        <v>999999</v>
      </c>
      <c r="X83" s="58" t="n">
        <f aca="false">IF(F83=Cadastros!$E$6,3,IF(F83=Cadastros!$E$7,6,IF(F83=Cadastros!$E$8,12,1)))</f>
        <v>1</v>
      </c>
    </row>
    <row r="84" customFormat="false" ht="15" hidden="false" customHeight="false" outlineLevel="0" collapsed="false">
      <c r="A84" s="49" t="str">
        <f aca="false">IF(B84="","",ROW()-4)</f>
        <v/>
      </c>
      <c r="B84" s="50"/>
      <c r="C84" s="50"/>
      <c r="D84" s="50"/>
      <c r="E84" s="51"/>
      <c r="F84" s="51"/>
      <c r="G84" s="51"/>
      <c r="H84" s="52"/>
      <c r="I84" s="53"/>
      <c r="J84" s="54"/>
      <c r="K84" s="53"/>
      <c r="L84" s="54"/>
      <c r="M84" s="55" t="str">
        <f aca="false">IF(L84="","",L84-J84)</f>
        <v/>
      </c>
      <c r="N84" s="56" t="str">
        <f aca="true">IF(I84="","",IF(K84&lt;&gt;"","PAGO",IF(I84&lt;TODAY(),"VENCIDO",IF(I84=TODAY(),"VENCE HOJE","A VENCER"))))</f>
        <v/>
      </c>
      <c r="O84" s="57" t="str">
        <f aca="true">IF(OR(I84="",K84&lt;&gt;""),"",I84-TODAY())</f>
        <v/>
      </c>
      <c r="P84" s="51"/>
      <c r="Q84" s="51"/>
      <c r="R84" s="51"/>
      <c r="S84" s="50"/>
      <c r="T84" s="50"/>
      <c r="U84" s="52"/>
      <c r="V84" s="58" t="n">
        <f aca="false">IF(OR(B84="",I84="",F84="",F84=Cadastros!$E$4,F84=Cadastros!$E$9),999999,IF(COUNTIFS($B$5:$B$504,B84,$I$5:$I$504,"&gt;"&amp;I84)=0,YEAR(I84)*12+MONTH(I84),999999))</f>
        <v>999999</v>
      </c>
      <c r="W84" s="58" t="n">
        <f aca="false">IF(U84="",999999,YEAR(U84)*12+MONTH(U84))</f>
        <v>999999</v>
      </c>
      <c r="X84" s="58" t="n">
        <f aca="false">IF(F84=Cadastros!$E$6,3,IF(F84=Cadastros!$E$7,6,IF(F84=Cadastros!$E$8,12,1)))</f>
        <v>1</v>
      </c>
    </row>
    <row r="85" customFormat="false" ht="15" hidden="false" customHeight="false" outlineLevel="0" collapsed="false">
      <c r="A85" s="49" t="str">
        <f aca="false">IF(B85="","",ROW()-4)</f>
        <v/>
      </c>
      <c r="B85" s="50"/>
      <c r="C85" s="50"/>
      <c r="D85" s="50"/>
      <c r="E85" s="51"/>
      <c r="F85" s="51"/>
      <c r="G85" s="51"/>
      <c r="H85" s="52"/>
      <c r="I85" s="53"/>
      <c r="J85" s="54"/>
      <c r="K85" s="53"/>
      <c r="L85" s="54"/>
      <c r="M85" s="55" t="str">
        <f aca="false">IF(L85="","",L85-J85)</f>
        <v/>
      </c>
      <c r="N85" s="56" t="str">
        <f aca="true">IF(I85="","",IF(K85&lt;&gt;"","PAGO",IF(I85&lt;TODAY(),"VENCIDO",IF(I85=TODAY(),"VENCE HOJE","A VENCER"))))</f>
        <v/>
      </c>
      <c r="O85" s="57" t="str">
        <f aca="true">IF(OR(I85="",K85&lt;&gt;""),"",I85-TODAY())</f>
        <v/>
      </c>
      <c r="P85" s="51"/>
      <c r="Q85" s="51"/>
      <c r="R85" s="51"/>
      <c r="S85" s="50"/>
      <c r="T85" s="50"/>
      <c r="U85" s="52"/>
      <c r="V85" s="58" t="n">
        <f aca="false">IF(OR(B85="",I85="",F85="",F85=Cadastros!$E$4,F85=Cadastros!$E$9),999999,IF(COUNTIFS($B$5:$B$504,B85,$I$5:$I$504,"&gt;"&amp;I85)=0,YEAR(I85)*12+MONTH(I85),999999))</f>
        <v>999999</v>
      </c>
      <c r="W85" s="58" t="n">
        <f aca="false">IF(U85="",999999,YEAR(U85)*12+MONTH(U85))</f>
        <v>999999</v>
      </c>
      <c r="X85" s="58" t="n">
        <f aca="false">IF(F85=Cadastros!$E$6,3,IF(F85=Cadastros!$E$7,6,IF(F85=Cadastros!$E$8,12,1)))</f>
        <v>1</v>
      </c>
    </row>
    <row r="86" customFormat="false" ht="15" hidden="false" customHeight="false" outlineLevel="0" collapsed="false">
      <c r="A86" s="49" t="str">
        <f aca="false">IF(B86="","",ROW()-4)</f>
        <v/>
      </c>
      <c r="B86" s="50"/>
      <c r="C86" s="50"/>
      <c r="D86" s="50"/>
      <c r="E86" s="51"/>
      <c r="F86" s="51"/>
      <c r="G86" s="51"/>
      <c r="H86" s="52"/>
      <c r="I86" s="53"/>
      <c r="J86" s="54"/>
      <c r="K86" s="53"/>
      <c r="L86" s="54"/>
      <c r="M86" s="55" t="str">
        <f aca="false">IF(L86="","",L86-J86)</f>
        <v/>
      </c>
      <c r="N86" s="56" t="str">
        <f aca="true">IF(I86="","",IF(K86&lt;&gt;"","PAGO",IF(I86&lt;TODAY(),"VENCIDO",IF(I86=TODAY(),"VENCE HOJE","A VENCER"))))</f>
        <v/>
      </c>
      <c r="O86" s="57" t="str">
        <f aca="true">IF(OR(I86="",K86&lt;&gt;""),"",I86-TODAY())</f>
        <v/>
      </c>
      <c r="P86" s="51"/>
      <c r="Q86" s="51"/>
      <c r="R86" s="51"/>
      <c r="S86" s="50"/>
      <c r="T86" s="50"/>
      <c r="U86" s="52"/>
      <c r="V86" s="58" t="n">
        <f aca="false">IF(OR(B86="",I86="",F86="",F86=Cadastros!$E$4,F86=Cadastros!$E$9),999999,IF(COUNTIFS($B$5:$B$504,B86,$I$5:$I$504,"&gt;"&amp;I86)=0,YEAR(I86)*12+MONTH(I86),999999))</f>
        <v>999999</v>
      </c>
      <c r="W86" s="58" t="n">
        <f aca="false">IF(U86="",999999,YEAR(U86)*12+MONTH(U86))</f>
        <v>999999</v>
      </c>
      <c r="X86" s="58" t="n">
        <f aca="false">IF(F86=Cadastros!$E$6,3,IF(F86=Cadastros!$E$7,6,IF(F86=Cadastros!$E$8,12,1)))</f>
        <v>1</v>
      </c>
    </row>
    <row r="87" customFormat="false" ht="15" hidden="false" customHeight="false" outlineLevel="0" collapsed="false">
      <c r="A87" s="49" t="str">
        <f aca="false">IF(B87="","",ROW()-4)</f>
        <v/>
      </c>
      <c r="B87" s="50"/>
      <c r="C87" s="50"/>
      <c r="D87" s="50"/>
      <c r="E87" s="51"/>
      <c r="F87" s="51"/>
      <c r="G87" s="51"/>
      <c r="H87" s="52"/>
      <c r="I87" s="53"/>
      <c r="J87" s="54"/>
      <c r="K87" s="53"/>
      <c r="L87" s="54"/>
      <c r="M87" s="55" t="str">
        <f aca="false">IF(L87="","",L87-J87)</f>
        <v/>
      </c>
      <c r="N87" s="56" t="str">
        <f aca="true">IF(I87="","",IF(K87&lt;&gt;"","PAGO",IF(I87&lt;TODAY(),"VENCIDO",IF(I87=TODAY(),"VENCE HOJE","A VENCER"))))</f>
        <v/>
      </c>
      <c r="O87" s="57" t="str">
        <f aca="true">IF(OR(I87="",K87&lt;&gt;""),"",I87-TODAY())</f>
        <v/>
      </c>
      <c r="P87" s="51"/>
      <c r="Q87" s="51"/>
      <c r="R87" s="51"/>
      <c r="S87" s="50"/>
      <c r="T87" s="50"/>
      <c r="U87" s="52"/>
      <c r="V87" s="58" t="n">
        <f aca="false">IF(OR(B87="",I87="",F87="",F87=Cadastros!$E$4,F87=Cadastros!$E$9),999999,IF(COUNTIFS($B$5:$B$504,B87,$I$5:$I$504,"&gt;"&amp;I87)=0,YEAR(I87)*12+MONTH(I87),999999))</f>
        <v>999999</v>
      </c>
      <c r="W87" s="58" t="n">
        <f aca="false">IF(U87="",999999,YEAR(U87)*12+MONTH(U87))</f>
        <v>999999</v>
      </c>
      <c r="X87" s="58" t="n">
        <f aca="false">IF(F87=Cadastros!$E$6,3,IF(F87=Cadastros!$E$7,6,IF(F87=Cadastros!$E$8,12,1)))</f>
        <v>1</v>
      </c>
    </row>
    <row r="88" customFormat="false" ht="15" hidden="false" customHeight="false" outlineLevel="0" collapsed="false">
      <c r="A88" s="49" t="str">
        <f aca="false">IF(B88="","",ROW()-4)</f>
        <v/>
      </c>
      <c r="B88" s="50"/>
      <c r="C88" s="50"/>
      <c r="D88" s="50"/>
      <c r="E88" s="51"/>
      <c r="F88" s="51"/>
      <c r="G88" s="51"/>
      <c r="H88" s="52"/>
      <c r="I88" s="53"/>
      <c r="J88" s="54"/>
      <c r="K88" s="53"/>
      <c r="L88" s="54"/>
      <c r="M88" s="55" t="str">
        <f aca="false">IF(L88="","",L88-J88)</f>
        <v/>
      </c>
      <c r="N88" s="56" t="str">
        <f aca="true">IF(I88="","",IF(K88&lt;&gt;"","PAGO",IF(I88&lt;TODAY(),"VENCIDO",IF(I88=TODAY(),"VENCE HOJE","A VENCER"))))</f>
        <v/>
      </c>
      <c r="O88" s="57" t="str">
        <f aca="true">IF(OR(I88="",K88&lt;&gt;""),"",I88-TODAY())</f>
        <v/>
      </c>
      <c r="P88" s="51"/>
      <c r="Q88" s="51"/>
      <c r="R88" s="51"/>
      <c r="S88" s="50"/>
      <c r="T88" s="50"/>
      <c r="U88" s="52"/>
      <c r="V88" s="58" t="n">
        <f aca="false">IF(OR(B88="",I88="",F88="",F88=Cadastros!$E$4,F88=Cadastros!$E$9),999999,IF(COUNTIFS($B$5:$B$504,B88,$I$5:$I$504,"&gt;"&amp;I88)=0,YEAR(I88)*12+MONTH(I88),999999))</f>
        <v>999999</v>
      </c>
      <c r="W88" s="58" t="n">
        <f aca="false">IF(U88="",999999,YEAR(U88)*12+MONTH(U88))</f>
        <v>999999</v>
      </c>
      <c r="X88" s="58" t="n">
        <f aca="false">IF(F88=Cadastros!$E$6,3,IF(F88=Cadastros!$E$7,6,IF(F88=Cadastros!$E$8,12,1)))</f>
        <v>1</v>
      </c>
    </row>
    <row r="89" customFormat="false" ht="15" hidden="false" customHeight="false" outlineLevel="0" collapsed="false">
      <c r="A89" s="49" t="str">
        <f aca="false">IF(B89="","",ROW()-4)</f>
        <v/>
      </c>
      <c r="B89" s="50"/>
      <c r="C89" s="50"/>
      <c r="D89" s="50"/>
      <c r="E89" s="51"/>
      <c r="F89" s="51"/>
      <c r="G89" s="51"/>
      <c r="H89" s="52"/>
      <c r="I89" s="53"/>
      <c r="J89" s="54"/>
      <c r="K89" s="53"/>
      <c r="L89" s="54"/>
      <c r="M89" s="55" t="str">
        <f aca="false">IF(L89="","",L89-J89)</f>
        <v/>
      </c>
      <c r="N89" s="56" t="str">
        <f aca="true">IF(I89="","",IF(K89&lt;&gt;"","PAGO",IF(I89&lt;TODAY(),"VENCIDO",IF(I89=TODAY(),"VENCE HOJE","A VENCER"))))</f>
        <v/>
      </c>
      <c r="O89" s="57" t="str">
        <f aca="true">IF(OR(I89="",K89&lt;&gt;""),"",I89-TODAY())</f>
        <v/>
      </c>
      <c r="P89" s="51"/>
      <c r="Q89" s="51"/>
      <c r="R89" s="51"/>
      <c r="S89" s="50"/>
      <c r="T89" s="50"/>
      <c r="U89" s="52"/>
      <c r="V89" s="58" t="n">
        <f aca="false">IF(OR(B89="",I89="",F89="",F89=Cadastros!$E$4,F89=Cadastros!$E$9),999999,IF(COUNTIFS($B$5:$B$504,B89,$I$5:$I$504,"&gt;"&amp;I89)=0,YEAR(I89)*12+MONTH(I89),999999))</f>
        <v>999999</v>
      </c>
      <c r="W89" s="58" t="n">
        <f aca="false">IF(U89="",999999,YEAR(U89)*12+MONTH(U89))</f>
        <v>999999</v>
      </c>
      <c r="X89" s="58" t="n">
        <f aca="false">IF(F89=Cadastros!$E$6,3,IF(F89=Cadastros!$E$7,6,IF(F89=Cadastros!$E$8,12,1)))</f>
        <v>1</v>
      </c>
    </row>
    <row r="90" customFormat="false" ht="15" hidden="false" customHeight="false" outlineLevel="0" collapsed="false">
      <c r="A90" s="49" t="str">
        <f aca="false">IF(B90="","",ROW()-4)</f>
        <v/>
      </c>
      <c r="B90" s="50"/>
      <c r="C90" s="50"/>
      <c r="D90" s="50"/>
      <c r="E90" s="51"/>
      <c r="F90" s="51"/>
      <c r="G90" s="51"/>
      <c r="H90" s="52"/>
      <c r="I90" s="53"/>
      <c r="J90" s="54"/>
      <c r="K90" s="53"/>
      <c r="L90" s="54"/>
      <c r="M90" s="55" t="str">
        <f aca="false">IF(L90="","",L90-J90)</f>
        <v/>
      </c>
      <c r="N90" s="56" t="str">
        <f aca="true">IF(I90="","",IF(K90&lt;&gt;"","PAGO",IF(I90&lt;TODAY(),"VENCIDO",IF(I90=TODAY(),"VENCE HOJE","A VENCER"))))</f>
        <v/>
      </c>
      <c r="O90" s="57" t="str">
        <f aca="true">IF(OR(I90="",K90&lt;&gt;""),"",I90-TODAY())</f>
        <v/>
      </c>
      <c r="P90" s="51"/>
      <c r="Q90" s="51"/>
      <c r="R90" s="51"/>
      <c r="S90" s="50"/>
      <c r="T90" s="50"/>
      <c r="U90" s="52"/>
      <c r="V90" s="58" t="n">
        <f aca="false">IF(OR(B90="",I90="",F90="",F90=Cadastros!$E$4,F90=Cadastros!$E$9),999999,IF(COUNTIFS($B$5:$B$504,B90,$I$5:$I$504,"&gt;"&amp;I90)=0,YEAR(I90)*12+MONTH(I90),999999))</f>
        <v>999999</v>
      </c>
      <c r="W90" s="58" t="n">
        <f aca="false">IF(U90="",999999,YEAR(U90)*12+MONTH(U90))</f>
        <v>999999</v>
      </c>
      <c r="X90" s="58" t="n">
        <f aca="false">IF(F90=Cadastros!$E$6,3,IF(F90=Cadastros!$E$7,6,IF(F90=Cadastros!$E$8,12,1)))</f>
        <v>1</v>
      </c>
    </row>
    <row r="91" customFormat="false" ht="15" hidden="false" customHeight="false" outlineLevel="0" collapsed="false">
      <c r="A91" s="49" t="str">
        <f aca="false">IF(B91="","",ROW()-4)</f>
        <v/>
      </c>
      <c r="B91" s="50"/>
      <c r="C91" s="50"/>
      <c r="D91" s="50"/>
      <c r="E91" s="51"/>
      <c r="F91" s="51"/>
      <c r="G91" s="51"/>
      <c r="H91" s="52"/>
      <c r="I91" s="53"/>
      <c r="J91" s="54"/>
      <c r="K91" s="53"/>
      <c r="L91" s="54"/>
      <c r="M91" s="55" t="str">
        <f aca="false">IF(L91="","",L91-J91)</f>
        <v/>
      </c>
      <c r="N91" s="56" t="str">
        <f aca="true">IF(I91="","",IF(K91&lt;&gt;"","PAGO",IF(I91&lt;TODAY(),"VENCIDO",IF(I91=TODAY(),"VENCE HOJE","A VENCER"))))</f>
        <v/>
      </c>
      <c r="O91" s="57" t="str">
        <f aca="true">IF(OR(I91="",K91&lt;&gt;""),"",I91-TODAY())</f>
        <v/>
      </c>
      <c r="P91" s="51"/>
      <c r="Q91" s="51"/>
      <c r="R91" s="51"/>
      <c r="S91" s="50"/>
      <c r="T91" s="50"/>
      <c r="U91" s="52"/>
      <c r="V91" s="58" t="n">
        <f aca="false">IF(OR(B91="",I91="",F91="",F91=Cadastros!$E$4,F91=Cadastros!$E$9),999999,IF(COUNTIFS($B$5:$B$504,B91,$I$5:$I$504,"&gt;"&amp;I91)=0,YEAR(I91)*12+MONTH(I91),999999))</f>
        <v>999999</v>
      </c>
      <c r="W91" s="58" t="n">
        <f aca="false">IF(U91="",999999,YEAR(U91)*12+MONTH(U91))</f>
        <v>999999</v>
      </c>
      <c r="X91" s="58" t="n">
        <f aca="false">IF(F91=Cadastros!$E$6,3,IF(F91=Cadastros!$E$7,6,IF(F91=Cadastros!$E$8,12,1)))</f>
        <v>1</v>
      </c>
    </row>
    <row r="92" customFormat="false" ht="15" hidden="false" customHeight="false" outlineLevel="0" collapsed="false">
      <c r="A92" s="49" t="str">
        <f aca="false">IF(B92="","",ROW()-4)</f>
        <v/>
      </c>
      <c r="B92" s="50"/>
      <c r="C92" s="50"/>
      <c r="D92" s="50"/>
      <c r="E92" s="51"/>
      <c r="F92" s="51"/>
      <c r="G92" s="51"/>
      <c r="H92" s="52"/>
      <c r="I92" s="53"/>
      <c r="J92" s="54"/>
      <c r="K92" s="53"/>
      <c r="L92" s="54"/>
      <c r="M92" s="55" t="str">
        <f aca="false">IF(L92="","",L92-J92)</f>
        <v/>
      </c>
      <c r="N92" s="56" t="str">
        <f aca="true">IF(I92="","",IF(K92&lt;&gt;"","PAGO",IF(I92&lt;TODAY(),"VENCIDO",IF(I92=TODAY(),"VENCE HOJE","A VENCER"))))</f>
        <v/>
      </c>
      <c r="O92" s="57" t="str">
        <f aca="true">IF(OR(I92="",K92&lt;&gt;""),"",I92-TODAY())</f>
        <v/>
      </c>
      <c r="P92" s="51"/>
      <c r="Q92" s="51"/>
      <c r="R92" s="51"/>
      <c r="S92" s="50"/>
      <c r="T92" s="50"/>
      <c r="U92" s="52"/>
      <c r="V92" s="58" t="n">
        <f aca="false">IF(OR(B92="",I92="",F92="",F92=Cadastros!$E$4,F92=Cadastros!$E$9),999999,IF(COUNTIFS($B$5:$B$504,B92,$I$5:$I$504,"&gt;"&amp;I92)=0,YEAR(I92)*12+MONTH(I92),999999))</f>
        <v>999999</v>
      </c>
      <c r="W92" s="58" t="n">
        <f aca="false">IF(U92="",999999,YEAR(U92)*12+MONTH(U92))</f>
        <v>999999</v>
      </c>
      <c r="X92" s="58" t="n">
        <f aca="false">IF(F92=Cadastros!$E$6,3,IF(F92=Cadastros!$E$7,6,IF(F92=Cadastros!$E$8,12,1)))</f>
        <v>1</v>
      </c>
    </row>
    <row r="93" customFormat="false" ht="15" hidden="false" customHeight="false" outlineLevel="0" collapsed="false">
      <c r="A93" s="49" t="str">
        <f aca="false">IF(B93="","",ROW()-4)</f>
        <v/>
      </c>
      <c r="B93" s="50"/>
      <c r="C93" s="50"/>
      <c r="D93" s="50"/>
      <c r="E93" s="51"/>
      <c r="F93" s="51"/>
      <c r="G93" s="51"/>
      <c r="H93" s="52"/>
      <c r="I93" s="53"/>
      <c r="J93" s="54"/>
      <c r="K93" s="53"/>
      <c r="L93" s="54"/>
      <c r="M93" s="55" t="str">
        <f aca="false">IF(L93="","",L93-J93)</f>
        <v/>
      </c>
      <c r="N93" s="56" t="str">
        <f aca="true">IF(I93="","",IF(K93&lt;&gt;"","PAGO",IF(I93&lt;TODAY(),"VENCIDO",IF(I93=TODAY(),"VENCE HOJE","A VENCER"))))</f>
        <v/>
      </c>
      <c r="O93" s="57" t="str">
        <f aca="true">IF(OR(I93="",K93&lt;&gt;""),"",I93-TODAY())</f>
        <v/>
      </c>
      <c r="P93" s="51"/>
      <c r="Q93" s="51"/>
      <c r="R93" s="51"/>
      <c r="S93" s="50"/>
      <c r="T93" s="50"/>
      <c r="U93" s="52"/>
      <c r="V93" s="58" t="n">
        <f aca="false">IF(OR(B93="",I93="",F93="",F93=Cadastros!$E$4,F93=Cadastros!$E$9),999999,IF(COUNTIFS($B$5:$B$504,B93,$I$5:$I$504,"&gt;"&amp;I93)=0,YEAR(I93)*12+MONTH(I93),999999))</f>
        <v>999999</v>
      </c>
      <c r="W93" s="58" t="n">
        <f aca="false">IF(U93="",999999,YEAR(U93)*12+MONTH(U93))</f>
        <v>999999</v>
      </c>
      <c r="X93" s="58" t="n">
        <f aca="false">IF(F93=Cadastros!$E$6,3,IF(F93=Cadastros!$E$7,6,IF(F93=Cadastros!$E$8,12,1)))</f>
        <v>1</v>
      </c>
    </row>
    <row r="94" customFormat="false" ht="15" hidden="false" customHeight="false" outlineLevel="0" collapsed="false">
      <c r="A94" s="49" t="str">
        <f aca="false">IF(B94="","",ROW()-4)</f>
        <v/>
      </c>
      <c r="B94" s="50"/>
      <c r="C94" s="50"/>
      <c r="D94" s="50"/>
      <c r="E94" s="51"/>
      <c r="F94" s="51"/>
      <c r="G94" s="51"/>
      <c r="H94" s="52"/>
      <c r="I94" s="53"/>
      <c r="J94" s="54"/>
      <c r="K94" s="53"/>
      <c r="L94" s="54"/>
      <c r="M94" s="55" t="str">
        <f aca="false">IF(L94="","",L94-J94)</f>
        <v/>
      </c>
      <c r="N94" s="56" t="str">
        <f aca="true">IF(I94="","",IF(K94&lt;&gt;"","PAGO",IF(I94&lt;TODAY(),"VENCIDO",IF(I94=TODAY(),"VENCE HOJE","A VENCER"))))</f>
        <v/>
      </c>
      <c r="O94" s="57" t="str">
        <f aca="true">IF(OR(I94="",K94&lt;&gt;""),"",I94-TODAY())</f>
        <v/>
      </c>
      <c r="P94" s="51"/>
      <c r="Q94" s="51"/>
      <c r="R94" s="51"/>
      <c r="S94" s="50"/>
      <c r="T94" s="50"/>
      <c r="U94" s="52"/>
      <c r="V94" s="58" t="n">
        <f aca="false">IF(OR(B94="",I94="",F94="",F94=Cadastros!$E$4,F94=Cadastros!$E$9),999999,IF(COUNTIFS($B$5:$B$504,B94,$I$5:$I$504,"&gt;"&amp;I94)=0,YEAR(I94)*12+MONTH(I94),999999))</f>
        <v>999999</v>
      </c>
      <c r="W94" s="58" t="n">
        <f aca="false">IF(U94="",999999,YEAR(U94)*12+MONTH(U94))</f>
        <v>999999</v>
      </c>
      <c r="X94" s="58" t="n">
        <f aca="false">IF(F94=Cadastros!$E$6,3,IF(F94=Cadastros!$E$7,6,IF(F94=Cadastros!$E$8,12,1)))</f>
        <v>1</v>
      </c>
    </row>
    <row r="95" customFormat="false" ht="15" hidden="false" customHeight="false" outlineLevel="0" collapsed="false">
      <c r="A95" s="49" t="str">
        <f aca="false">IF(B95="","",ROW()-4)</f>
        <v/>
      </c>
      <c r="B95" s="50"/>
      <c r="C95" s="50"/>
      <c r="D95" s="50"/>
      <c r="E95" s="51"/>
      <c r="F95" s="51"/>
      <c r="G95" s="51"/>
      <c r="H95" s="52"/>
      <c r="I95" s="53"/>
      <c r="J95" s="54"/>
      <c r="K95" s="53"/>
      <c r="L95" s="54"/>
      <c r="M95" s="55" t="str">
        <f aca="false">IF(L95="","",L95-J95)</f>
        <v/>
      </c>
      <c r="N95" s="56" t="str">
        <f aca="true">IF(I95="","",IF(K95&lt;&gt;"","PAGO",IF(I95&lt;TODAY(),"VENCIDO",IF(I95=TODAY(),"VENCE HOJE","A VENCER"))))</f>
        <v/>
      </c>
      <c r="O95" s="57" t="str">
        <f aca="true">IF(OR(I95="",K95&lt;&gt;""),"",I95-TODAY())</f>
        <v/>
      </c>
      <c r="P95" s="51"/>
      <c r="Q95" s="51"/>
      <c r="R95" s="51"/>
      <c r="S95" s="50"/>
      <c r="T95" s="50"/>
      <c r="U95" s="52"/>
      <c r="V95" s="58" t="n">
        <f aca="false">IF(OR(B95="",I95="",F95="",F95=Cadastros!$E$4,F95=Cadastros!$E$9),999999,IF(COUNTIFS($B$5:$B$504,B95,$I$5:$I$504,"&gt;"&amp;I95)=0,YEAR(I95)*12+MONTH(I95),999999))</f>
        <v>999999</v>
      </c>
      <c r="W95" s="58" t="n">
        <f aca="false">IF(U95="",999999,YEAR(U95)*12+MONTH(U95))</f>
        <v>999999</v>
      </c>
      <c r="X95" s="58" t="n">
        <f aca="false">IF(F95=Cadastros!$E$6,3,IF(F95=Cadastros!$E$7,6,IF(F95=Cadastros!$E$8,12,1)))</f>
        <v>1</v>
      </c>
    </row>
    <row r="96" customFormat="false" ht="15" hidden="false" customHeight="false" outlineLevel="0" collapsed="false">
      <c r="A96" s="49" t="str">
        <f aca="false">IF(B96="","",ROW()-4)</f>
        <v/>
      </c>
      <c r="B96" s="50"/>
      <c r="C96" s="50"/>
      <c r="D96" s="50"/>
      <c r="E96" s="51"/>
      <c r="F96" s="51"/>
      <c r="G96" s="51"/>
      <c r="H96" s="52"/>
      <c r="I96" s="53"/>
      <c r="J96" s="54"/>
      <c r="K96" s="53"/>
      <c r="L96" s="54"/>
      <c r="M96" s="55" t="str">
        <f aca="false">IF(L96="","",L96-J96)</f>
        <v/>
      </c>
      <c r="N96" s="56" t="str">
        <f aca="true">IF(I96="","",IF(K96&lt;&gt;"","PAGO",IF(I96&lt;TODAY(),"VENCIDO",IF(I96=TODAY(),"VENCE HOJE","A VENCER"))))</f>
        <v/>
      </c>
      <c r="O96" s="57" t="str">
        <f aca="true">IF(OR(I96="",K96&lt;&gt;""),"",I96-TODAY())</f>
        <v/>
      </c>
      <c r="P96" s="51"/>
      <c r="Q96" s="51"/>
      <c r="R96" s="51"/>
      <c r="S96" s="50"/>
      <c r="T96" s="50"/>
      <c r="U96" s="52"/>
      <c r="V96" s="58" t="n">
        <f aca="false">IF(OR(B96="",I96="",F96="",F96=Cadastros!$E$4,F96=Cadastros!$E$9),999999,IF(COUNTIFS($B$5:$B$504,B96,$I$5:$I$504,"&gt;"&amp;I96)=0,YEAR(I96)*12+MONTH(I96),999999))</f>
        <v>999999</v>
      </c>
      <c r="W96" s="58" t="n">
        <f aca="false">IF(U96="",999999,YEAR(U96)*12+MONTH(U96))</f>
        <v>999999</v>
      </c>
      <c r="X96" s="58" t="n">
        <f aca="false">IF(F96=Cadastros!$E$6,3,IF(F96=Cadastros!$E$7,6,IF(F96=Cadastros!$E$8,12,1)))</f>
        <v>1</v>
      </c>
    </row>
    <row r="97" customFormat="false" ht="15" hidden="false" customHeight="false" outlineLevel="0" collapsed="false">
      <c r="A97" s="49" t="str">
        <f aca="false">IF(B97="","",ROW()-4)</f>
        <v/>
      </c>
      <c r="B97" s="50"/>
      <c r="C97" s="50"/>
      <c r="D97" s="50"/>
      <c r="E97" s="51"/>
      <c r="F97" s="51"/>
      <c r="G97" s="51"/>
      <c r="H97" s="52"/>
      <c r="I97" s="53"/>
      <c r="J97" s="54"/>
      <c r="K97" s="53"/>
      <c r="L97" s="54"/>
      <c r="M97" s="55" t="str">
        <f aca="false">IF(L97="","",L97-J97)</f>
        <v/>
      </c>
      <c r="N97" s="56" t="str">
        <f aca="true">IF(I97="","",IF(K97&lt;&gt;"","PAGO",IF(I97&lt;TODAY(),"VENCIDO",IF(I97=TODAY(),"VENCE HOJE","A VENCER"))))</f>
        <v/>
      </c>
      <c r="O97" s="57" t="str">
        <f aca="true">IF(OR(I97="",K97&lt;&gt;""),"",I97-TODAY())</f>
        <v/>
      </c>
      <c r="P97" s="51"/>
      <c r="Q97" s="51"/>
      <c r="R97" s="51"/>
      <c r="S97" s="50"/>
      <c r="T97" s="50"/>
      <c r="U97" s="52"/>
      <c r="V97" s="58" t="n">
        <f aca="false">IF(OR(B97="",I97="",F97="",F97=Cadastros!$E$4,F97=Cadastros!$E$9),999999,IF(COUNTIFS($B$5:$B$504,B97,$I$5:$I$504,"&gt;"&amp;I97)=0,YEAR(I97)*12+MONTH(I97),999999))</f>
        <v>999999</v>
      </c>
      <c r="W97" s="58" t="n">
        <f aca="false">IF(U97="",999999,YEAR(U97)*12+MONTH(U97))</f>
        <v>999999</v>
      </c>
      <c r="X97" s="58" t="n">
        <f aca="false">IF(F97=Cadastros!$E$6,3,IF(F97=Cadastros!$E$7,6,IF(F97=Cadastros!$E$8,12,1)))</f>
        <v>1</v>
      </c>
    </row>
    <row r="98" customFormat="false" ht="15" hidden="false" customHeight="false" outlineLevel="0" collapsed="false">
      <c r="A98" s="49" t="str">
        <f aca="false">IF(B98="","",ROW()-4)</f>
        <v/>
      </c>
      <c r="B98" s="50"/>
      <c r="C98" s="50"/>
      <c r="D98" s="50"/>
      <c r="E98" s="51"/>
      <c r="F98" s="51"/>
      <c r="G98" s="51"/>
      <c r="H98" s="52"/>
      <c r="I98" s="53"/>
      <c r="J98" s="54"/>
      <c r="K98" s="53"/>
      <c r="L98" s="54"/>
      <c r="M98" s="55" t="str">
        <f aca="false">IF(L98="","",L98-J98)</f>
        <v/>
      </c>
      <c r="N98" s="56" t="str">
        <f aca="true">IF(I98="","",IF(K98&lt;&gt;"","PAGO",IF(I98&lt;TODAY(),"VENCIDO",IF(I98=TODAY(),"VENCE HOJE","A VENCER"))))</f>
        <v/>
      </c>
      <c r="O98" s="57" t="str">
        <f aca="true">IF(OR(I98="",K98&lt;&gt;""),"",I98-TODAY())</f>
        <v/>
      </c>
      <c r="P98" s="51"/>
      <c r="Q98" s="51"/>
      <c r="R98" s="51"/>
      <c r="S98" s="50"/>
      <c r="T98" s="50"/>
      <c r="U98" s="52"/>
      <c r="V98" s="58" t="n">
        <f aca="false">IF(OR(B98="",I98="",F98="",F98=Cadastros!$E$4,F98=Cadastros!$E$9),999999,IF(COUNTIFS($B$5:$B$504,B98,$I$5:$I$504,"&gt;"&amp;I98)=0,YEAR(I98)*12+MONTH(I98),999999))</f>
        <v>999999</v>
      </c>
      <c r="W98" s="58" t="n">
        <f aca="false">IF(U98="",999999,YEAR(U98)*12+MONTH(U98))</f>
        <v>999999</v>
      </c>
      <c r="X98" s="58" t="n">
        <f aca="false">IF(F98=Cadastros!$E$6,3,IF(F98=Cadastros!$E$7,6,IF(F98=Cadastros!$E$8,12,1)))</f>
        <v>1</v>
      </c>
    </row>
    <row r="99" customFormat="false" ht="15" hidden="false" customHeight="false" outlineLevel="0" collapsed="false">
      <c r="A99" s="49" t="str">
        <f aca="false">IF(B99="","",ROW()-4)</f>
        <v/>
      </c>
      <c r="B99" s="50"/>
      <c r="C99" s="50"/>
      <c r="D99" s="50"/>
      <c r="E99" s="51"/>
      <c r="F99" s="51"/>
      <c r="G99" s="51"/>
      <c r="H99" s="52"/>
      <c r="I99" s="53"/>
      <c r="J99" s="54"/>
      <c r="K99" s="53"/>
      <c r="L99" s="54"/>
      <c r="M99" s="55" t="str">
        <f aca="false">IF(L99="","",L99-J99)</f>
        <v/>
      </c>
      <c r="N99" s="56" t="str">
        <f aca="true">IF(I99="","",IF(K99&lt;&gt;"","PAGO",IF(I99&lt;TODAY(),"VENCIDO",IF(I99=TODAY(),"VENCE HOJE","A VENCER"))))</f>
        <v/>
      </c>
      <c r="O99" s="57" t="str">
        <f aca="true">IF(OR(I99="",K99&lt;&gt;""),"",I99-TODAY())</f>
        <v/>
      </c>
      <c r="P99" s="51"/>
      <c r="Q99" s="51"/>
      <c r="R99" s="51"/>
      <c r="S99" s="50"/>
      <c r="T99" s="50"/>
      <c r="U99" s="52"/>
      <c r="V99" s="58" t="n">
        <f aca="false">IF(OR(B99="",I99="",F99="",F99=Cadastros!$E$4,F99=Cadastros!$E$9),999999,IF(COUNTIFS($B$5:$B$504,B99,$I$5:$I$504,"&gt;"&amp;I99)=0,YEAR(I99)*12+MONTH(I99),999999))</f>
        <v>999999</v>
      </c>
      <c r="W99" s="58" t="n">
        <f aca="false">IF(U99="",999999,YEAR(U99)*12+MONTH(U99))</f>
        <v>999999</v>
      </c>
      <c r="X99" s="58" t="n">
        <f aca="false">IF(F99=Cadastros!$E$6,3,IF(F99=Cadastros!$E$7,6,IF(F99=Cadastros!$E$8,12,1)))</f>
        <v>1</v>
      </c>
    </row>
    <row r="100" customFormat="false" ht="15" hidden="false" customHeight="false" outlineLevel="0" collapsed="false">
      <c r="A100" s="49" t="str">
        <f aca="false">IF(B100="","",ROW()-4)</f>
        <v/>
      </c>
      <c r="B100" s="50"/>
      <c r="C100" s="50"/>
      <c r="D100" s="50"/>
      <c r="E100" s="51"/>
      <c r="F100" s="51"/>
      <c r="G100" s="51"/>
      <c r="H100" s="52"/>
      <c r="I100" s="53"/>
      <c r="J100" s="54"/>
      <c r="K100" s="53"/>
      <c r="L100" s="54"/>
      <c r="M100" s="55" t="str">
        <f aca="false">IF(L100="","",L100-J100)</f>
        <v/>
      </c>
      <c r="N100" s="56" t="str">
        <f aca="true">IF(I100="","",IF(K100&lt;&gt;"","PAGO",IF(I100&lt;TODAY(),"VENCIDO",IF(I100=TODAY(),"VENCE HOJE","A VENCER"))))</f>
        <v/>
      </c>
      <c r="O100" s="57" t="str">
        <f aca="true">IF(OR(I100="",K100&lt;&gt;""),"",I100-TODAY())</f>
        <v/>
      </c>
      <c r="P100" s="51"/>
      <c r="Q100" s="51"/>
      <c r="R100" s="51"/>
      <c r="S100" s="50"/>
      <c r="T100" s="50"/>
      <c r="U100" s="52"/>
      <c r="V100" s="58" t="n">
        <f aca="false">IF(OR(B100="",I100="",F100="",F100=Cadastros!$E$4,F100=Cadastros!$E$9),999999,IF(COUNTIFS($B$5:$B$504,B100,$I$5:$I$504,"&gt;"&amp;I100)=0,YEAR(I100)*12+MONTH(I100),999999))</f>
        <v>999999</v>
      </c>
      <c r="W100" s="58" t="n">
        <f aca="false">IF(U100="",999999,YEAR(U100)*12+MONTH(U100))</f>
        <v>999999</v>
      </c>
      <c r="X100" s="58" t="n">
        <f aca="false">IF(F100=Cadastros!$E$6,3,IF(F100=Cadastros!$E$7,6,IF(F100=Cadastros!$E$8,12,1)))</f>
        <v>1</v>
      </c>
    </row>
    <row r="101" customFormat="false" ht="15" hidden="false" customHeight="false" outlineLevel="0" collapsed="false">
      <c r="A101" s="49" t="str">
        <f aca="false">IF(B101="","",ROW()-4)</f>
        <v/>
      </c>
      <c r="B101" s="50"/>
      <c r="C101" s="50"/>
      <c r="D101" s="50"/>
      <c r="E101" s="51"/>
      <c r="F101" s="51"/>
      <c r="G101" s="51"/>
      <c r="H101" s="52"/>
      <c r="I101" s="53"/>
      <c r="J101" s="54"/>
      <c r="K101" s="53"/>
      <c r="L101" s="54"/>
      <c r="M101" s="55" t="str">
        <f aca="false">IF(L101="","",L101-J101)</f>
        <v/>
      </c>
      <c r="N101" s="56" t="str">
        <f aca="true">IF(I101="","",IF(K101&lt;&gt;"","PAGO",IF(I101&lt;TODAY(),"VENCIDO",IF(I101=TODAY(),"VENCE HOJE","A VENCER"))))</f>
        <v/>
      </c>
      <c r="O101" s="57" t="str">
        <f aca="true">IF(OR(I101="",K101&lt;&gt;""),"",I101-TODAY())</f>
        <v/>
      </c>
      <c r="P101" s="51"/>
      <c r="Q101" s="51"/>
      <c r="R101" s="51"/>
      <c r="S101" s="50"/>
      <c r="T101" s="50"/>
      <c r="U101" s="52"/>
      <c r="V101" s="58" t="n">
        <f aca="false">IF(OR(B101="",I101="",F101="",F101=Cadastros!$E$4,F101=Cadastros!$E$9),999999,IF(COUNTIFS($B$5:$B$504,B101,$I$5:$I$504,"&gt;"&amp;I101)=0,YEAR(I101)*12+MONTH(I101),999999))</f>
        <v>999999</v>
      </c>
      <c r="W101" s="58" t="n">
        <f aca="false">IF(U101="",999999,YEAR(U101)*12+MONTH(U101))</f>
        <v>999999</v>
      </c>
      <c r="X101" s="58" t="n">
        <f aca="false">IF(F101=Cadastros!$E$6,3,IF(F101=Cadastros!$E$7,6,IF(F101=Cadastros!$E$8,12,1)))</f>
        <v>1</v>
      </c>
    </row>
    <row r="102" customFormat="false" ht="15" hidden="false" customHeight="false" outlineLevel="0" collapsed="false">
      <c r="A102" s="49" t="str">
        <f aca="false">IF(B102="","",ROW()-4)</f>
        <v/>
      </c>
      <c r="B102" s="50"/>
      <c r="C102" s="50"/>
      <c r="D102" s="50"/>
      <c r="E102" s="51"/>
      <c r="F102" s="51"/>
      <c r="G102" s="51"/>
      <c r="H102" s="52"/>
      <c r="I102" s="53"/>
      <c r="J102" s="54"/>
      <c r="K102" s="53"/>
      <c r="L102" s="54"/>
      <c r="M102" s="55" t="str">
        <f aca="false">IF(L102="","",L102-J102)</f>
        <v/>
      </c>
      <c r="N102" s="56" t="str">
        <f aca="true">IF(I102="","",IF(K102&lt;&gt;"","PAGO",IF(I102&lt;TODAY(),"VENCIDO",IF(I102=TODAY(),"VENCE HOJE","A VENCER"))))</f>
        <v/>
      </c>
      <c r="O102" s="57" t="str">
        <f aca="true">IF(OR(I102="",K102&lt;&gt;""),"",I102-TODAY())</f>
        <v/>
      </c>
      <c r="P102" s="51"/>
      <c r="Q102" s="51"/>
      <c r="R102" s="51"/>
      <c r="S102" s="50"/>
      <c r="T102" s="50"/>
      <c r="U102" s="52"/>
      <c r="V102" s="58" t="n">
        <f aca="false">IF(OR(B102="",I102="",F102="",F102=Cadastros!$E$4,F102=Cadastros!$E$9),999999,IF(COUNTIFS($B$5:$B$504,B102,$I$5:$I$504,"&gt;"&amp;I102)=0,YEAR(I102)*12+MONTH(I102),999999))</f>
        <v>999999</v>
      </c>
      <c r="W102" s="58" t="n">
        <f aca="false">IF(U102="",999999,YEAR(U102)*12+MONTH(U102))</f>
        <v>999999</v>
      </c>
      <c r="X102" s="58" t="n">
        <f aca="false">IF(F102=Cadastros!$E$6,3,IF(F102=Cadastros!$E$7,6,IF(F102=Cadastros!$E$8,12,1)))</f>
        <v>1</v>
      </c>
    </row>
    <row r="103" customFormat="false" ht="15" hidden="false" customHeight="false" outlineLevel="0" collapsed="false">
      <c r="A103" s="49" t="str">
        <f aca="false">IF(B103="","",ROW()-4)</f>
        <v/>
      </c>
      <c r="B103" s="50"/>
      <c r="C103" s="50"/>
      <c r="D103" s="50"/>
      <c r="E103" s="51"/>
      <c r="F103" s="51"/>
      <c r="G103" s="51"/>
      <c r="H103" s="52"/>
      <c r="I103" s="53"/>
      <c r="J103" s="54"/>
      <c r="K103" s="53"/>
      <c r="L103" s="54"/>
      <c r="M103" s="55" t="str">
        <f aca="false">IF(L103="","",L103-J103)</f>
        <v/>
      </c>
      <c r="N103" s="56" t="str">
        <f aca="true">IF(I103="","",IF(K103&lt;&gt;"","PAGO",IF(I103&lt;TODAY(),"VENCIDO",IF(I103=TODAY(),"VENCE HOJE","A VENCER"))))</f>
        <v/>
      </c>
      <c r="O103" s="57" t="str">
        <f aca="true">IF(OR(I103="",K103&lt;&gt;""),"",I103-TODAY())</f>
        <v/>
      </c>
      <c r="P103" s="51"/>
      <c r="Q103" s="51"/>
      <c r="R103" s="51"/>
      <c r="S103" s="50"/>
      <c r="T103" s="50"/>
      <c r="U103" s="52"/>
      <c r="V103" s="58" t="n">
        <f aca="false">IF(OR(B103="",I103="",F103="",F103=Cadastros!$E$4,F103=Cadastros!$E$9),999999,IF(COUNTIFS($B$5:$B$504,B103,$I$5:$I$504,"&gt;"&amp;I103)=0,YEAR(I103)*12+MONTH(I103),999999))</f>
        <v>999999</v>
      </c>
      <c r="W103" s="58" t="n">
        <f aca="false">IF(U103="",999999,YEAR(U103)*12+MONTH(U103))</f>
        <v>999999</v>
      </c>
      <c r="X103" s="58" t="n">
        <f aca="false">IF(F103=Cadastros!$E$6,3,IF(F103=Cadastros!$E$7,6,IF(F103=Cadastros!$E$8,12,1)))</f>
        <v>1</v>
      </c>
    </row>
    <row r="104" customFormat="false" ht="15" hidden="false" customHeight="false" outlineLevel="0" collapsed="false">
      <c r="A104" s="49" t="str">
        <f aca="false">IF(B104="","",ROW()-4)</f>
        <v/>
      </c>
      <c r="B104" s="50"/>
      <c r="C104" s="50"/>
      <c r="D104" s="50"/>
      <c r="E104" s="51"/>
      <c r="F104" s="51"/>
      <c r="G104" s="51"/>
      <c r="H104" s="52"/>
      <c r="I104" s="53"/>
      <c r="J104" s="54"/>
      <c r="K104" s="53"/>
      <c r="L104" s="54"/>
      <c r="M104" s="55" t="str">
        <f aca="false">IF(L104="","",L104-J104)</f>
        <v/>
      </c>
      <c r="N104" s="56" t="str">
        <f aca="true">IF(I104="","",IF(K104&lt;&gt;"","PAGO",IF(I104&lt;TODAY(),"VENCIDO",IF(I104=TODAY(),"VENCE HOJE","A VENCER"))))</f>
        <v/>
      </c>
      <c r="O104" s="57" t="str">
        <f aca="true">IF(OR(I104="",K104&lt;&gt;""),"",I104-TODAY())</f>
        <v/>
      </c>
      <c r="P104" s="51"/>
      <c r="Q104" s="51"/>
      <c r="R104" s="51"/>
      <c r="S104" s="50"/>
      <c r="T104" s="50"/>
      <c r="U104" s="52"/>
      <c r="V104" s="58" t="n">
        <f aca="false">IF(OR(B104="",I104="",F104="",F104=Cadastros!$E$4,F104=Cadastros!$E$9),999999,IF(COUNTIFS($B$5:$B$504,B104,$I$5:$I$504,"&gt;"&amp;I104)=0,YEAR(I104)*12+MONTH(I104),999999))</f>
        <v>999999</v>
      </c>
      <c r="W104" s="58" t="n">
        <f aca="false">IF(U104="",999999,YEAR(U104)*12+MONTH(U104))</f>
        <v>999999</v>
      </c>
      <c r="X104" s="58" t="n">
        <f aca="false">IF(F104=Cadastros!$E$6,3,IF(F104=Cadastros!$E$7,6,IF(F104=Cadastros!$E$8,12,1)))</f>
        <v>1</v>
      </c>
    </row>
    <row r="105" customFormat="false" ht="15" hidden="false" customHeight="false" outlineLevel="0" collapsed="false">
      <c r="A105" s="49" t="str">
        <f aca="false">IF(B105="","",ROW()-4)</f>
        <v/>
      </c>
      <c r="B105" s="50"/>
      <c r="C105" s="50"/>
      <c r="D105" s="50"/>
      <c r="E105" s="51"/>
      <c r="F105" s="51"/>
      <c r="G105" s="51"/>
      <c r="H105" s="52"/>
      <c r="I105" s="53"/>
      <c r="J105" s="54"/>
      <c r="K105" s="53"/>
      <c r="L105" s="54"/>
      <c r="M105" s="55" t="str">
        <f aca="false">IF(L105="","",L105-J105)</f>
        <v/>
      </c>
      <c r="N105" s="56" t="str">
        <f aca="true">IF(I105="","",IF(K105&lt;&gt;"","PAGO",IF(I105&lt;TODAY(),"VENCIDO",IF(I105=TODAY(),"VENCE HOJE","A VENCER"))))</f>
        <v/>
      </c>
      <c r="O105" s="57" t="str">
        <f aca="true">IF(OR(I105="",K105&lt;&gt;""),"",I105-TODAY())</f>
        <v/>
      </c>
      <c r="P105" s="51"/>
      <c r="Q105" s="51"/>
      <c r="R105" s="51"/>
      <c r="S105" s="50"/>
      <c r="T105" s="50"/>
      <c r="U105" s="52"/>
      <c r="V105" s="58" t="n">
        <f aca="false">IF(OR(B105="",I105="",F105="",F105=Cadastros!$E$4,F105=Cadastros!$E$9),999999,IF(COUNTIFS($B$5:$B$504,B105,$I$5:$I$504,"&gt;"&amp;I105)=0,YEAR(I105)*12+MONTH(I105),999999))</f>
        <v>999999</v>
      </c>
      <c r="W105" s="58" t="n">
        <f aca="false">IF(U105="",999999,YEAR(U105)*12+MONTH(U105))</f>
        <v>999999</v>
      </c>
      <c r="X105" s="58" t="n">
        <f aca="false">IF(F105=Cadastros!$E$6,3,IF(F105=Cadastros!$E$7,6,IF(F105=Cadastros!$E$8,12,1)))</f>
        <v>1</v>
      </c>
    </row>
    <row r="106" customFormat="false" ht="15" hidden="false" customHeight="false" outlineLevel="0" collapsed="false">
      <c r="A106" s="49" t="str">
        <f aca="false">IF(B106="","",ROW()-4)</f>
        <v/>
      </c>
      <c r="B106" s="50"/>
      <c r="C106" s="50"/>
      <c r="D106" s="50"/>
      <c r="E106" s="51"/>
      <c r="F106" s="51"/>
      <c r="G106" s="51"/>
      <c r="H106" s="52"/>
      <c r="I106" s="53"/>
      <c r="J106" s="54"/>
      <c r="K106" s="53"/>
      <c r="L106" s="54"/>
      <c r="M106" s="55" t="str">
        <f aca="false">IF(L106="","",L106-J106)</f>
        <v/>
      </c>
      <c r="N106" s="56" t="str">
        <f aca="true">IF(I106="","",IF(K106&lt;&gt;"","PAGO",IF(I106&lt;TODAY(),"VENCIDO",IF(I106=TODAY(),"VENCE HOJE","A VENCER"))))</f>
        <v/>
      </c>
      <c r="O106" s="57" t="str">
        <f aca="true">IF(OR(I106="",K106&lt;&gt;""),"",I106-TODAY())</f>
        <v/>
      </c>
      <c r="P106" s="51"/>
      <c r="Q106" s="51"/>
      <c r="R106" s="51"/>
      <c r="S106" s="50"/>
      <c r="T106" s="50"/>
      <c r="U106" s="52"/>
      <c r="V106" s="58" t="n">
        <f aca="false">IF(OR(B106="",I106="",F106="",F106=Cadastros!$E$4,F106=Cadastros!$E$9),999999,IF(COUNTIFS($B$5:$B$504,B106,$I$5:$I$504,"&gt;"&amp;I106)=0,YEAR(I106)*12+MONTH(I106),999999))</f>
        <v>999999</v>
      </c>
      <c r="W106" s="58" t="n">
        <f aca="false">IF(U106="",999999,YEAR(U106)*12+MONTH(U106))</f>
        <v>999999</v>
      </c>
      <c r="X106" s="58" t="n">
        <f aca="false">IF(F106=Cadastros!$E$6,3,IF(F106=Cadastros!$E$7,6,IF(F106=Cadastros!$E$8,12,1)))</f>
        <v>1</v>
      </c>
    </row>
    <row r="107" customFormat="false" ht="15" hidden="false" customHeight="false" outlineLevel="0" collapsed="false">
      <c r="A107" s="49" t="str">
        <f aca="false">IF(B107="","",ROW()-4)</f>
        <v/>
      </c>
      <c r="B107" s="50"/>
      <c r="C107" s="50"/>
      <c r="D107" s="50"/>
      <c r="E107" s="51"/>
      <c r="F107" s="51"/>
      <c r="G107" s="51"/>
      <c r="H107" s="52"/>
      <c r="I107" s="53"/>
      <c r="J107" s="54"/>
      <c r="K107" s="53"/>
      <c r="L107" s="54"/>
      <c r="M107" s="55" t="str">
        <f aca="false">IF(L107="","",L107-J107)</f>
        <v/>
      </c>
      <c r="N107" s="56" t="str">
        <f aca="true">IF(I107="","",IF(K107&lt;&gt;"","PAGO",IF(I107&lt;TODAY(),"VENCIDO",IF(I107=TODAY(),"VENCE HOJE","A VENCER"))))</f>
        <v/>
      </c>
      <c r="O107" s="57" t="str">
        <f aca="true">IF(OR(I107="",K107&lt;&gt;""),"",I107-TODAY())</f>
        <v/>
      </c>
      <c r="P107" s="51"/>
      <c r="Q107" s="51"/>
      <c r="R107" s="51"/>
      <c r="S107" s="50"/>
      <c r="T107" s="50"/>
      <c r="U107" s="52"/>
      <c r="V107" s="58" t="n">
        <f aca="false">IF(OR(B107="",I107="",F107="",F107=Cadastros!$E$4,F107=Cadastros!$E$9),999999,IF(COUNTIFS($B$5:$B$504,B107,$I$5:$I$504,"&gt;"&amp;I107)=0,YEAR(I107)*12+MONTH(I107),999999))</f>
        <v>999999</v>
      </c>
      <c r="W107" s="58" t="n">
        <f aca="false">IF(U107="",999999,YEAR(U107)*12+MONTH(U107))</f>
        <v>999999</v>
      </c>
      <c r="X107" s="58" t="n">
        <f aca="false">IF(F107=Cadastros!$E$6,3,IF(F107=Cadastros!$E$7,6,IF(F107=Cadastros!$E$8,12,1)))</f>
        <v>1</v>
      </c>
    </row>
    <row r="108" customFormat="false" ht="15" hidden="false" customHeight="false" outlineLevel="0" collapsed="false">
      <c r="A108" s="49" t="str">
        <f aca="false">IF(B108="","",ROW()-4)</f>
        <v/>
      </c>
      <c r="B108" s="50"/>
      <c r="C108" s="50"/>
      <c r="D108" s="50"/>
      <c r="E108" s="51"/>
      <c r="F108" s="51"/>
      <c r="G108" s="51"/>
      <c r="H108" s="52"/>
      <c r="I108" s="53"/>
      <c r="J108" s="54"/>
      <c r="K108" s="53"/>
      <c r="L108" s="54"/>
      <c r="M108" s="55" t="str">
        <f aca="false">IF(L108="","",L108-J108)</f>
        <v/>
      </c>
      <c r="N108" s="56" t="str">
        <f aca="true">IF(I108="","",IF(K108&lt;&gt;"","PAGO",IF(I108&lt;TODAY(),"VENCIDO",IF(I108=TODAY(),"VENCE HOJE","A VENCER"))))</f>
        <v/>
      </c>
      <c r="O108" s="57" t="str">
        <f aca="true">IF(OR(I108="",K108&lt;&gt;""),"",I108-TODAY())</f>
        <v/>
      </c>
      <c r="P108" s="51"/>
      <c r="Q108" s="51"/>
      <c r="R108" s="51"/>
      <c r="S108" s="50"/>
      <c r="T108" s="50"/>
      <c r="U108" s="52"/>
      <c r="V108" s="58" t="n">
        <f aca="false">IF(OR(B108="",I108="",F108="",F108=Cadastros!$E$4,F108=Cadastros!$E$9),999999,IF(COUNTIFS($B$5:$B$504,B108,$I$5:$I$504,"&gt;"&amp;I108)=0,YEAR(I108)*12+MONTH(I108),999999))</f>
        <v>999999</v>
      </c>
      <c r="W108" s="58" t="n">
        <f aca="false">IF(U108="",999999,YEAR(U108)*12+MONTH(U108))</f>
        <v>999999</v>
      </c>
      <c r="X108" s="58" t="n">
        <f aca="false">IF(F108=Cadastros!$E$6,3,IF(F108=Cadastros!$E$7,6,IF(F108=Cadastros!$E$8,12,1)))</f>
        <v>1</v>
      </c>
    </row>
    <row r="109" customFormat="false" ht="15" hidden="false" customHeight="false" outlineLevel="0" collapsed="false">
      <c r="A109" s="49" t="str">
        <f aca="false">IF(B109="","",ROW()-4)</f>
        <v/>
      </c>
      <c r="B109" s="50"/>
      <c r="C109" s="50"/>
      <c r="D109" s="50"/>
      <c r="E109" s="51"/>
      <c r="F109" s="51"/>
      <c r="G109" s="51"/>
      <c r="H109" s="52"/>
      <c r="I109" s="53"/>
      <c r="J109" s="54"/>
      <c r="K109" s="53"/>
      <c r="L109" s="54"/>
      <c r="M109" s="55" t="str">
        <f aca="false">IF(L109="","",L109-J109)</f>
        <v/>
      </c>
      <c r="N109" s="56" t="str">
        <f aca="true">IF(I109="","",IF(K109&lt;&gt;"","PAGO",IF(I109&lt;TODAY(),"VENCIDO",IF(I109=TODAY(),"VENCE HOJE","A VENCER"))))</f>
        <v/>
      </c>
      <c r="O109" s="57" t="str">
        <f aca="true">IF(OR(I109="",K109&lt;&gt;""),"",I109-TODAY())</f>
        <v/>
      </c>
      <c r="P109" s="51"/>
      <c r="Q109" s="51"/>
      <c r="R109" s="51"/>
      <c r="S109" s="50"/>
      <c r="T109" s="50"/>
      <c r="U109" s="52"/>
      <c r="V109" s="58" t="n">
        <f aca="false">IF(OR(B109="",I109="",F109="",F109=Cadastros!$E$4,F109=Cadastros!$E$9),999999,IF(COUNTIFS($B$5:$B$504,B109,$I$5:$I$504,"&gt;"&amp;I109)=0,YEAR(I109)*12+MONTH(I109),999999))</f>
        <v>999999</v>
      </c>
      <c r="W109" s="58" t="n">
        <f aca="false">IF(U109="",999999,YEAR(U109)*12+MONTH(U109))</f>
        <v>999999</v>
      </c>
      <c r="X109" s="58" t="n">
        <f aca="false">IF(F109=Cadastros!$E$6,3,IF(F109=Cadastros!$E$7,6,IF(F109=Cadastros!$E$8,12,1)))</f>
        <v>1</v>
      </c>
    </row>
    <row r="110" customFormat="false" ht="15" hidden="false" customHeight="false" outlineLevel="0" collapsed="false">
      <c r="A110" s="49" t="str">
        <f aca="false">IF(B110="","",ROW()-4)</f>
        <v/>
      </c>
      <c r="B110" s="50"/>
      <c r="C110" s="50"/>
      <c r="D110" s="50"/>
      <c r="E110" s="51"/>
      <c r="F110" s="51"/>
      <c r="G110" s="51"/>
      <c r="H110" s="52"/>
      <c r="I110" s="53"/>
      <c r="J110" s="54"/>
      <c r="K110" s="53"/>
      <c r="L110" s="54"/>
      <c r="M110" s="55" t="str">
        <f aca="false">IF(L110="","",L110-J110)</f>
        <v/>
      </c>
      <c r="N110" s="56" t="str">
        <f aca="true">IF(I110="","",IF(K110&lt;&gt;"","PAGO",IF(I110&lt;TODAY(),"VENCIDO",IF(I110=TODAY(),"VENCE HOJE","A VENCER"))))</f>
        <v/>
      </c>
      <c r="O110" s="57" t="str">
        <f aca="true">IF(OR(I110="",K110&lt;&gt;""),"",I110-TODAY())</f>
        <v/>
      </c>
      <c r="P110" s="51"/>
      <c r="Q110" s="51"/>
      <c r="R110" s="51"/>
      <c r="S110" s="50"/>
      <c r="T110" s="50"/>
      <c r="U110" s="52"/>
      <c r="V110" s="58" t="n">
        <f aca="false">IF(OR(B110="",I110="",F110="",F110=Cadastros!$E$4,F110=Cadastros!$E$9),999999,IF(COUNTIFS($B$5:$B$504,B110,$I$5:$I$504,"&gt;"&amp;I110)=0,YEAR(I110)*12+MONTH(I110),999999))</f>
        <v>999999</v>
      </c>
      <c r="W110" s="58" t="n">
        <f aca="false">IF(U110="",999999,YEAR(U110)*12+MONTH(U110))</f>
        <v>999999</v>
      </c>
      <c r="X110" s="58" t="n">
        <f aca="false">IF(F110=Cadastros!$E$6,3,IF(F110=Cadastros!$E$7,6,IF(F110=Cadastros!$E$8,12,1)))</f>
        <v>1</v>
      </c>
    </row>
    <row r="111" customFormat="false" ht="15" hidden="false" customHeight="false" outlineLevel="0" collapsed="false">
      <c r="A111" s="49" t="str">
        <f aca="false">IF(B111="","",ROW()-4)</f>
        <v/>
      </c>
      <c r="B111" s="50"/>
      <c r="C111" s="50"/>
      <c r="D111" s="50"/>
      <c r="E111" s="51"/>
      <c r="F111" s="51"/>
      <c r="G111" s="51"/>
      <c r="H111" s="52"/>
      <c r="I111" s="53"/>
      <c r="J111" s="54"/>
      <c r="K111" s="53"/>
      <c r="L111" s="54"/>
      <c r="M111" s="55" t="str">
        <f aca="false">IF(L111="","",L111-J111)</f>
        <v/>
      </c>
      <c r="N111" s="56" t="str">
        <f aca="true">IF(I111="","",IF(K111&lt;&gt;"","PAGO",IF(I111&lt;TODAY(),"VENCIDO",IF(I111=TODAY(),"VENCE HOJE","A VENCER"))))</f>
        <v/>
      </c>
      <c r="O111" s="57" t="str">
        <f aca="true">IF(OR(I111="",K111&lt;&gt;""),"",I111-TODAY())</f>
        <v/>
      </c>
      <c r="P111" s="51"/>
      <c r="Q111" s="51"/>
      <c r="R111" s="51"/>
      <c r="S111" s="50"/>
      <c r="T111" s="50"/>
      <c r="U111" s="52"/>
      <c r="V111" s="58" t="n">
        <f aca="false">IF(OR(B111="",I111="",F111="",F111=Cadastros!$E$4,F111=Cadastros!$E$9),999999,IF(COUNTIFS($B$5:$B$504,B111,$I$5:$I$504,"&gt;"&amp;I111)=0,YEAR(I111)*12+MONTH(I111),999999))</f>
        <v>999999</v>
      </c>
      <c r="W111" s="58" t="n">
        <f aca="false">IF(U111="",999999,YEAR(U111)*12+MONTH(U111))</f>
        <v>999999</v>
      </c>
      <c r="X111" s="58" t="n">
        <f aca="false">IF(F111=Cadastros!$E$6,3,IF(F111=Cadastros!$E$7,6,IF(F111=Cadastros!$E$8,12,1)))</f>
        <v>1</v>
      </c>
    </row>
    <row r="112" customFormat="false" ht="15" hidden="false" customHeight="false" outlineLevel="0" collapsed="false">
      <c r="A112" s="49" t="str">
        <f aca="false">IF(B112="","",ROW()-4)</f>
        <v/>
      </c>
      <c r="B112" s="50"/>
      <c r="C112" s="50"/>
      <c r="D112" s="50"/>
      <c r="E112" s="51"/>
      <c r="F112" s="51"/>
      <c r="G112" s="51"/>
      <c r="H112" s="52"/>
      <c r="I112" s="53"/>
      <c r="J112" s="54"/>
      <c r="K112" s="53"/>
      <c r="L112" s="54"/>
      <c r="M112" s="55" t="str">
        <f aca="false">IF(L112="","",L112-J112)</f>
        <v/>
      </c>
      <c r="N112" s="56" t="str">
        <f aca="true">IF(I112="","",IF(K112&lt;&gt;"","PAGO",IF(I112&lt;TODAY(),"VENCIDO",IF(I112=TODAY(),"VENCE HOJE","A VENCER"))))</f>
        <v/>
      </c>
      <c r="O112" s="57" t="str">
        <f aca="true">IF(OR(I112="",K112&lt;&gt;""),"",I112-TODAY())</f>
        <v/>
      </c>
      <c r="P112" s="51"/>
      <c r="Q112" s="51"/>
      <c r="R112" s="51"/>
      <c r="S112" s="50"/>
      <c r="T112" s="50"/>
      <c r="U112" s="52"/>
      <c r="V112" s="58" t="n">
        <f aca="false">IF(OR(B112="",I112="",F112="",F112=Cadastros!$E$4,F112=Cadastros!$E$9),999999,IF(COUNTIFS($B$5:$B$504,B112,$I$5:$I$504,"&gt;"&amp;I112)=0,YEAR(I112)*12+MONTH(I112),999999))</f>
        <v>999999</v>
      </c>
      <c r="W112" s="58" t="n">
        <f aca="false">IF(U112="",999999,YEAR(U112)*12+MONTH(U112))</f>
        <v>999999</v>
      </c>
      <c r="X112" s="58" t="n">
        <f aca="false">IF(F112=Cadastros!$E$6,3,IF(F112=Cadastros!$E$7,6,IF(F112=Cadastros!$E$8,12,1)))</f>
        <v>1</v>
      </c>
    </row>
    <row r="113" customFormat="false" ht="15" hidden="false" customHeight="false" outlineLevel="0" collapsed="false">
      <c r="A113" s="49" t="str">
        <f aca="false">IF(B113="","",ROW()-4)</f>
        <v/>
      </c>
      <c r="B113" s="50"/>
      <c r="C113" s="50"/>
      <c r="D113" s="50"/>
      <c r="E113" s="51"/>
      <c r="F113" s="51"/>
      <c r="G113" s="51"/>
      <c r="H113" s="52"/>
      <c r="I113" s="53"/>
      <c r="J113" s="54"/>
      <c r="K113" s="53"/>
      <c r="L113" s="54"/>
      <c r="M113" s="55" t="str">
        <f aca="false">IF(L113="","",L113-J113)</f>
        <v/>
      </c>
      <c r="N113" s="56" t="str">
        <f aca="true">IF(I113="","",IF(K113&lt;&gt;"","PAGO",IF(I113&lt;TODAY(),"VENCIDO",IF(I113=TODAY(),"VENCE HOJE","A VENCER"))))</f>
        <v/>
      </c>
      <c r="O113" s="57" t="str">
        <f aca="true">IF(OR(I113="",K113&lt;&gt;""),"",I113-TODAY())</f>
        <v/>
      </c>
      <c r="P113" s="51"/>
      <c r="Q113" s="51"/>
      <c r="R113" s="51"/>
      <c r="S113" s="50"/>
      <c r="T113" s="50"/>
      <c r="U113" s="52"/>
      <c r="V113" s="58" t="n">
        <f aca="false">IF(OR(B113="",I113="",F113="",F113=Cadastros!$E$4,F113=Cadastros!$E$9),999999,IF(COUNTIFS($B$5:$B$504,B113,$I$5:$I$504,"&gt;"&amp;I113)=0,YEAR(I113)*12+MONTH(I113),999999))</f>
        <v>999999</v>
      </c>
      <c r="W113" s="58" t="n">
        <f aca="false">IF(U113="",999999,YEAR(U113)*12+MONTH(U113))</f>
        <v>999999</v>
      </c>
      <c r="X113" s="58" t="n">
        <f aca="false">IF(F113=Cadastros!$E$6,3,IF(F113=Cadastros!$E$7,6,IF(F113=Cadastros!$E$8,12,1)))</f>
        <v>1</v>
      </c>
    </row>
    <row r="114" customFormat="false" ht="15" hidden="false" customHeight="false" outlineLevel="0" collapsed="false">
      <c r="A114" s="49" t="str">
        <f aca="false">IF(B114="","",ROW()-4)</f>
        <v/>
      </c>
      <c r="B114" s="50"/>
      <c r="C114" s="50"/>
      <c r="D114" s="50"/>
      <c r="E114" s="51"/>
      <c r="F114" s="51"/>
      <c r="G114" s="51"/>
      <c r="H114" s="52"/>
      <c r="I114" s="53"/>
      <c r="J114" s="54"/>
      <c r="K114" s="53"/>
      <c r="L114" s="54"/>
      <c r="M114" s="55" t="str">
        <f aca="false">IF(L114="","",L114-J114)</f>
        <v/>
      </c>
      <c r="N114" s="56" t="str">
        <f aca="true">IF(I114="","",IF(K114&lt;&gt;"","PAGO",IF(I114&lt;TODAY(),"VENCIDO",IF(I114=TODAY(),"VENCE HOJE","A VENCER"))))</f>
        <v/>
      </c>
      <c r="O114" s="57" t="str">
        <f aca="true">IF(OR(I114="",K114&lt;&gt;""),"",I114-TODAY())</f>
        <v/>
      </c>
      <c r="P114" s="51"/>
      <c r="Q114" s="51"/>
      <c r="R114" s="51"/>
      <c r="S114" s="50"/>
      <c r="T114" s="50"/>
      <c r="U114" s="52"/>
      <c r="V114" s="58" t="n">
        <f aca="false">IF(OR(B114="",I114="",F114="",F114=Cadastros!$E$4,F114=Cadastros!$E$9),999999,IF(COUNTIFS($B$5:$B$504,B114,$I$5:$I$504,"&gt;"&amp;I114)=0,YEAR(I114)*12+MONTH(I114),999999))</f>
        <v>999999</v>
      </c>
      <c r="W114" s="58" t="n">
        <f aca="false">IF(U114="",999999,YEAR(U114)*12+MONTH(U114))</f>
        <v>999999</v>
      </c>
      <c r="X114" s="58" t="n">
        <f aca="false">IF(F114=Cadastros!$E$6,3,IF(F114=Cadastros!$E$7,6,IF(F114=Cadastros!$E$8,12,1)))</f>
        <v>1</v>
      </c>
    </row>
    <row r="115" customFormat="false" ht="15" hidden="false" customHeight="false" outlineLevel="0" collapsed="false">
      <c r="A115" s="49" t="str">
        <f aca="false">IF(B115="","",ROW()-4)</f>
        <v/>
      </c>
      <c r="B115" s="50"/>
      <c r="C115" s="50"/>
      <c r="D115" s="50"/>
      <c r="E115" s="51"/>
      <c r="F115" s="51"/>
      <c r="G115" s="51"/>
      <c r="H115" s="52"/>
      <c r="I115" s="53"/>
      <c r="J115" s="54"/>
      <c r="K115" s="53"/>
      <c r="L115" s="54"/>
      <c r="M115" s="55" t="str">
        <f aca="false">IF(L115="","",L115-J115)</f>
        <v/>
      </c>
      <c r="N115" s="56" t="str">
        <f aca="true">IF(I115="","",IF(K115&lt;&gt;"","PAGO",IF(I115&lt;TODAY(),"VENCIDO",IF(I115=TODAY(),"VENCE HOJE","A VENCER"))))</f>
        <v/>
      </c>
      <c r="O115" s="57" t="str">
        <f aca="true">IF(OR(I115="",K115&lt;&gt;""),"",I115-TODAY())</f>
        <v/>
      </c>
      <c r="P115" s="51"/>
      <c r="Q115" s="51"/>
      <c r="R115" s="51"/>
      <c r="S115" s="50"/>
      <c r="T115" s="50"/>
      <c r="U115" s="52"/>
      <c r="V115" s="58" t="n">
        <f aca="false">IF(OR(B115="",I115="",F115="",F115=Cadastros!$E$4,F115=Cadastros!$E$9),999999,IF(COUNTIFS($B$5:$B$504,B115,$I$5:$I$504,"&gt;"&amp;I115)=0,YEAR(I115)*12+MONTH(I115),999999))</f>
        <v>999999</v>
      </c>
      <c r="W115" s="58" t="n">
        <f aca="false">IF(U115="",999999,YEAR(U115)*12+MONTH(U115))</f>
        <v>999999</v>
      </c>
      <c r="X115" s="58" t="n">
        <f aca="false">IF(F115=Cadastros!$E$6,3,IF(F115=Cadastros!$E$7,6,IF(F115=Cadastros!$E$8,12,1)))</f>
        <v>1</v>
      </c>
    </row>
    <row r="116" customFormat="false" ht="15" hidden="false" customHeight="false" outlineLevel="0" collapsed="false">
      <c r="A116" s="49" t="str">
        <f aca="false">IF(B116="","",ROW()-4)</f>
        <v/>
      </c>
      <c r="B116" s="50"/>
      <c r="C116" s="50"/>
      <c r="D116" s="50"/>
      <c r="E116" s="51"/>
      <c r="F116" s="51"/>
      <c r="G116" s="51"/>
      <c r="H116" s="52"/>
      <c r="I116" s="53"/>
      <c r="J116" s="54"/>
      <c r="K116" s="53"/>
      <c r="L116" s="54"/>
      <c r="M116" s="55" t="str">
        <f aca="false">IF(L116="","",L116-J116)</f>
        <v/>
      </c>
      <c r="N116" s="56" t="str">
        <f aca="true">IF(I116="","",IF(K116&lt;&gt;"","PAGO",IF(I116&lt;TODAY(),"VENCIDO",IF(I116=TODAY(),"VENCE HOJE","A VENCER"))))</f>
        <v/>
      </c>
      <c r="O116" s="57" t="str">
        <f aca="true">IF(OR(I116="",K116&lt;&gt;""),"",I116-TODAY())</f>
        <v/>
      </c>
      <c r="P116" s="51"/>
      <c r="Q116" s="51"/>
      <c r="R116" s="51"/>
      <c r="S116" s="50"/>
      <c r="T116" s="50"/>
      <c r="U116" s="52"/>
      <c r="V116" s="58" t="n">
        <f aca="false">IF(OR(B116="",I116="",F116="",F116=Cadastros!$E$4,F116=Cadastros!$E$9),999999,IF(COUNTIFS($B$5:$B$504,B116,$I$5:$I$504,"&gt;"&amp;I116)=0,YEAR(I116)*12+MONTH(I116),999999))</f>
        <v>999999</v>
      </c>
      <c r="W116" s="58" t="n">
        <f aca="false">IF(U116="",999999,YEAR(U116)*12+MONTH(U116))</f>
        <v>999999</v>
      </c>
      <c r="X116" s="58" t="n">
        <f aca="false">IF(F116=Cadastros!$E$6,3,IF(F116=Cadastros!$E$7,6,IF(F116=Cadastros!$E$8,12,1)))</f>
        <v>1</v>
      </c>
    </row>
    <row r="117" customFormat="false" ht="15" hidden="false" customHeight="false" outlineLevel="0" collapsed="false">
      <c r="A117" s="49" t="str">
        <f aca="false">IF(B117="","",ROW()-4)</f>
        <v/>
      </c>
      <c r="B117" s="50"/>
      <c r="C117" s="50"/>
      <c r="D117" s="50"/>
      <c r="E117" s="51"/>
      <c r="F117" s="51"/>
      <c r="G117" s="51"/>
      <c r="H117" s="52"/>
      <c r="I117" s="53"/>
      <c r="J117" s="54"/>
      <c r="K117" s="53"/>
      <c r="L117" s="54"/>
      <c r="M117" s="55" t="str">
        <f aca="false">IF(L117="","",L117-J117)</f>
        <v/>
      </c>
      <c r="N117" s="56" t="str">
        <f aca="true">IF(I117="","",IF(K117&lt;&gt;"","PAGO",IF(I117&lt;TODAY(),"VENCIDO",IF(I117=TODAY(),"VENCE HOJE","A VENCER"))))</f>
        <v/>
      </c>
      <c r="O117" s="57" t="str">
        <f aca="true">IF(OR(I117="",K117&lt;&gt;""),"",I117-TODAY())</f>
        <v/>
      </c>
      <c r="P117" s="51"/>
      <c r="Q117" s="51"/>
      <c r="R117" s="51"/>
      <c r="S117" s="50"/>
      <c r="T117" s="50"/>
      <c r="U117" s="52"/>
      <c r="V117" s="58" t="n">
        <f aca="false">IF(OR(B117="",I117="",F117="",F117=Cadastros!$E$4,F117=Cadastros!$E$9),999999,IF(COUNTIFS($B$5:$B$504,B117,$I$5:$I$504,"&gt;"&amp;I117)=0,YEAR(I117)*12+MONTH(I117),999999))</f>
        <v>999999</v>
      </c>
      <c r="W117" s="58" t="n">
        <f aca="false">IF(U117="",999999,YEAR(U117)*12+MONTH(U117))</f>
        <v>999999</v>
      </c>
      <c r="X117" s="58" t="n">
        <f aca="false">IF(F117=Cadastros!$E$6,3,IF(F117=Cadastros!$E$7,6,IF(F117=Cadastros!$E$8,12,1)))</f>
        <v>1</v>
      </c>
    </row>
    <row r="118" customFormat="false" ht="15" hidden="false" customHeight="false" outlineLevel="0" collapsed="false">
      <c r="A118" s="49" t="str">
        <f aca="false">IF(B118="","",ROW()-4)</f>
        <v/>
      </c>
      <c r="B118" s="50"/>
      <c r="C118" s="50"/>
      <c r="D118" s="50"/>
      <c r="E118" s="51"/>
      <c r="F118" s="51"/>
      <c r="G118" s="51"/>
      <c r="H118" s="52"/>
      <c r="I118" s="53"/>
      <c r="J118" s="54"/>
      <c r="K118" s="53"/>
      <c r="L118" s="54"/>
      <c r="M118" s="55" t="str">
        <f aca="false">IF(L118="","",L118-J118)</f>
        <v/>
      </c>
      <c r="N118" s="56" t="str">
        <f aca="true">IF(I118="","",IF(K118&lt;&gt;"","PAGO",IF(I118&lt;TODAY(),"VENCIDO",IF(I118=TODAY(),"VENCE HOJE","A VENCER"))))</f>
        <v/>
      </c>
      <c r="O118" s="57" t="str">
        <f aca="true">IF(OR(I118="",K118&lt;&gt;""),"",I118-TODAY())</f>
        <v/>
      </c>
      <c r="P118" s="51"/>
      <c r="Q118" s="51"/>
      <c r="R118" s="51"/>
      <c r="S118" s="50"/>
      <c r="T118" s="50"/>
      <c r="U118" s="52"/>
      <c r="V118" s="58" t="n">
        <f aca="false">IF(OR(B118="",I118="",F118="",F118=Cadastros!$E$4,F118=Cadastros!$E$9),999999,IF(COUNTIFS($B$5:$B$504,B118,$I$5:$I$504,"&gt;"&amp;I118)=0,YEAR(I118)*12+MONTH(I118),999999))</f>
        <v>999999</v>
      </c>
      <c r="W118" s="58" t="n">
        <f aca="false">IF(U118="",999999,YEAR(U118)*12+MONTH(U118))</f>
        <v>999999</v>
      </c>
      <c r="X118" s="58" t="n">
        <f aca="false">IF(F118=Cadastros!$E$6,3,IF(F118=Cadastros!$E$7,6,IF(F118=Cadastros!$E$8,12,1)))</f>
        <v>1</v>
      </c>
    </row>
    <row r="119" customFormat="false" ht="15" hidden="false" customHeight="false" outlineLevel="0" collapsed="false">
      <c r="A119" s="49" t="str">
        <f aca="false">IF(B119="","",ROW()-4)</f>
        <v/>
      </c>
      <c r="B119" s="50"/>
      <c r="C119" s="50"/>
      <c r="D119" s="50"/>
      <c r="E119" s="51"/>
      <c r="F119" s="51"/>
      <c r="G119" s="51"/>
      <c r="H119" s="52"/>
      <c r="I119" s="53"/>
      <c r="J119" s="54"/>
      <c r="K119" s="53"/>
      <c r="L119" s="54"/>
      <c r="M119" s="55" t="str">
        <f aca="false">IF(L119="","",L119-J119)</f>
        <v/>
      </c>
      <c r="N119" s="56" t="str">
        <f aca="true">IF(I119="","",IF(K119&lt;&gt;"","PAGO",IF(I119&lt;TODAY(),"VENCIDO",IF(I119=TODAY(),"VENCE HOJE","A VENCER"))))</f>
        <v/>
      </c>
      <c r="O119" s="57" t="str">
        <f aca="true">IF(OR(I119="",K119&lt;&gt;""),"",I119-TODAY())</f>
        <v/>
      </c>
      <c r="P119" s="51"/>
      <c r="Q119" s="51"/>
      <c r="R119" s="51"/>
      <c r="S119" s="50"/>
      <c r="T119" s="50"/>
      <c r="U119" s="52"/>
      <c r="V119" s="58" t="n">
        <f aca="false">IF(OR(B119="",I119="",F119="",F119=Cadastros!$E$4,F119=Cadastros!$E$9),999999,IF(COUNTIFS($B$5:$B$504,B119,$I$5:$I$504,"&gt;"&amp;I119)=0,YEAR(I119)*12+MONTH(I119),999999))</f>
        <v>999999</v>
      </c>
      <c r="W119" s="58" t="n">
        <f aca="false">IF(U119="",999999,YEAR(U119)*12+MONTH(U119))</f>
        <v>999999</v>
      </c>
      <c r="X119" s="58" t="n">
        <f aca="false">IF(F119=Cadastros!$E$6,3,IF(F119=Cadastros!$E$7,6,IF(F119=Cadastros!$E$8,12,1)))</f>
        <v>1</v>
      </c>
    </row>
    <row r="120" customFormat="false" ht="15" hidden="false" customHeight="false" outlineLevel="0" collapsed="false">
      <c r="A120" s="49" t="str">
        <f aca="false">IF(B120="","",ROW()-4)</f>
        <v/>
      </c>
      <c r="B120" s="50"/>
      <c r="C120" s="50"/>
      <c r="D120" s="50"/>
      <c r="E120" s="51"/>
      <c r="F120" s="51"/>
      <c r="G120" s="51"/>
      <c r="H120" s="52"/>
      <c r="I120" s="53"/>
      <c r="J120" s="54"/>
      <c r="K120" s="53"/>
      <c r="L120" s="54"/>
      <c r="M120" s="55" t="str">
        <f aca="false">IF(L120="","",L120-J120)</f>
        <v/>
      </c>
      <c r="N120" s="56" t="str">
        <f aca="true">IF(I120="","",IF(K120&lt;&gt;"","PAGO",IF(I120&lt;TODAY(),"VENCIDO",IF(I120=TODAY(),"VENCE HOJE","A VENCER"))))</f>
        <v/>
      </c>
      <c r="O120" s="57" t="str">
        <f aca="true">IF(OR(I120="",K120&lt;&gt;""),"",I120-TODAY())</f>
        <v/>
      </c>
      <c r="P120" s="51"/>
      <c r="Q120" s="51"/>
      <c r="R120" s="51"/>
      <c r="S120" s="50"/>
      <c r="T120" s="50"/>
      <c r="U120" s="52"/>
      <c r="V120" s="58" t="n">
        <f aca="false">IF(OR(B120="",I120="",F120="",F120=Cadastros!$E$4,F120=Cadastros!$E$9),999999,IF(COUNTIFS($B$5:$B$504,B120,$I$5:$I$504,"&gt;"&amp;I120)=0,YEAR(I120)*12+MONTH(I120),999999))</f>
        <v>999999</v>
      </c>
      <c r="W120" s="58" t="n">
        <f aca="false">IF(U120="",999999,YEAR(U120)*12+MONTH(U120))</f>
        <v>999999</v>
      </c>
      <c r="X120" s="58" t="n">
        <f aca="false">IF(F120=Cadastros!$E$6,3,IF(F120=Cadastros!$E$7,6,IF(F120=Cadastros!$E$8,12,1)))</f>
        <v>1</v>
      </c>
    </row>
    <row r="121" customFormat="false" ht="15" hidden="false" customHeight="false" outlineLevel="0" collapsed="false">
      <c r="A121" s="49" t="str">
        <f aca="false">IF(B121="","",ROW()-4)</f>
        <v/>
      </c>
      <c r="B121" s="50"/>
      <c r="C121" s="50"/>
      <c r="D121" s="50"/>
      <c r="E121" s="51"/>
      <c r="F121" s="51"/>
      <c r="G121" s="51"/>
      <c r="H121" s="52"/>
      <c r="I121" s="53"/>
      <c r="J121" s="54"/>
      <c r="K121" s="53"/>
      <c r="L121" s="54"/>
      <c r="M121" s="55" t="str">
        <f aca="false">IF(L121="","",L121-J121)</f>
        <v/>
      </c>
      <c r="N121" s="56" t="str">
        <f aca="true">IF(I121="","",IF(K121&lt;&gt;"","PAGO",IF(I121&lt;TODAY(),"VENCIDO",IF(I121=TODAY(),"VENCE HOJE","A VENCER"))))</f>
        <v/>
      </c>
      <c r="O121" s="57" t="str">
        <f aca="true">IF(OR(I121="",K121&lt;&gt;""),"",I121-TODAY())</f>
        <v/>
      </c>
      <c r="P121" s="51"/>
      <c r="Q121" s="51"/>
      <c r="R121" s="51"/>
      <c r="S121" s="50"/>
      <c r="T121" s="50"/>
      <c r="U121" s="52"/>
      <c r="V121" s="58" t="n">
        <f aca="false">IF(OR(B121="",I121="",F121="",F121=Cadastros!$E$4,F121=Cadastros!$E$9),999999,IF(COUNTIFS($B$5:$B$504,B121,$I$5:$I$504,"&gt;"&amp;I121)=0,YEAR(I121)*12+MONTH(I121),999999))</f>
        <v>999999</v>
      </c>
      <c r="W121" s="58" t="n">
        <f aca="false">IF(U121="",999999,YEAR(U121)*12+MONTH(U121))</f>
        <v>999999</v>
      </c>
      <c r="X121" s="58" t="n">
        <f aca="false">IF(F121=Cadastros!$E$6,3,IF(F121=Cadastros!$E$7,6,IF(F121=Cadastros!$E$8,12,1)))</f>
        <v>1</v>
      </c>
    </row>
    <row r="122" customFormat="false" ht="15" hidden="false" customHeight="false" outlineLevel="0" collapsed="false">
      <c r="A122" s="49" t="str">
        <f aca="false">IF(B122="","",ROW()-4)</f>
        <v/>
      </c>
      <c r="B122" s="50"/>
      <c r="C122" s="50"/>
      <c r="D122" s="50"/>
      <c r="E122" s="51"/>
      <c r="F122" s="51"/>
      <c r="G122" s="51"/>
      <c r="H122" s="52"/>
      <c r="I122" s="53"/>
      <c r="J122" s="54"/>
      <c r="K122" s="53"/>
      <c r="L122" s="54"/>
      <c r="M122" s="55" t="str">
        <f aca="false">IF(L122="","",L122-J122)</f>
        <v/>
      </c>
      <c r="N122" s="56" t="str">
        <f aca="true">IF(I122="","",IF(K122&lt;&gt;"","PAGO",IF(I122&lt;TODAY(),"VENCIDO",IF(I122=TODAY(),"VENCE HOJE","A VENCER"))))</f>
        <v/>
      </c>
      <c r="O122" s="57" t="str">
        <f aca="true">IF(OR(I122="",K122&lt;&gt;""),"",I122-TODAY())</f>
        <v/>
      </c>
      <c r="P122" s="51"/>
      <c r="Q122" s="51"/>
      <c r="R122" s="51"/>
      <c r="S122" s="50"/>
      <c r="T122" s="50"/>
      <c r="U122" s="52"/>
      <c r="V122" s="58" t="n">
        <f aca="false">IF(OR(B122="",I122="",F122="",F122=Cadastros!$E$4,F122=Cadastros!$E$9),999999,IF(COUNTIFS($B$5:$B$504,B122,$I$5:$I$504,"&gt;"&amp;I122)=0,YEAR(I122)*12+MONTH(I122),999999))</f>
        <v>999999</v>
      </c>
      <c r="W122" s="58" t="n">
        <f aca="false">IF(U122="",999999,YEAR(U122)*12+MONTH(U122))</f>
        <v>999999</v>
      </c>
      <c r="X122" s="58" t="n">
        <f aca="false">IF(F122=Cadastros!$E$6,3,IF(F122=Cadastros!$E$7,6,IF(F122=Cadastros!$E$8,12,1)))</f>
        <v>1</v>
      </c>
    </row>
    <row r="123" customFormat="false" ht="15" hidden="false" customHeight="false" outlineLevel="0" collapsed="false">
      <c r="A123" s="49" t="str">
        <f aca="false">IF(B123="","",ROW()-4)</f>
        <v/>
      </c>
      <c r="B123" s="50"/>
      <c r="C123" s="50"/>
      <c r="D123" s="50"/>
      <c r="E123" s="51"/>
      <c r="F123" s="51"/>
      <c r="G123" s="51"/>
      <c r="H123" s="52"/>
      <c r="I123" s="53"/>
      <c r="J123" s="54"/>
      <c r="K123" s="53"/>
      <c r="L123" s="54"/>
      <c r="M123" s="55" t="str">
        <f aca="false">IF(L123="","",L123-J123)</f>
        <v/>
      </c>
      <c r="N123" s="56" t="str">
        <f aca="true">IF(I123="","",IF(K123&lt;&gt;"","PAGO",IF(I123&lt;TODAY(),"VENCIDO",IF(I123=TODAY(),"VENCE HOJE","A VENCER"))))</f>
        <v/>
      </c>
      <c r="O123" s="57" t="str">
        <f aca="true">IF(OR(I123="",K123&lt;&gt;""),"",I123-TODAY())</f>
        <v/>
      </c>
      <c r="P123" s="51"/>
      <c r="Q123" s="51"/>
      <c r="R123" s="51"/>
      <c r="S123" s="50"/>
      <c r="T123" s="50"/>
      <c r="U123" s="52"/>
      <c r="V123" s="58" t="n">
        <f aca="false">IF(OR(B123="",I123="",F123="",F123=Cadastros!$E$4,F123=Cadastros!$E$9),999999,IF(COUNTIFS($B$5:$B$504,B123,$I$5:$I$504,"&gt;"&amp;I123)=0,YEAR(I123)*12+MONTH(I123),999999))</f>
        <v>999999</v>
      </c>
      <c r="W123" s="58" t="n">
        <f aca="false">IF(U123="",999999,YEAR(U123)*12+MONTH(U123))</f>
        <v>999999</v>
      </c>
      <c r="X123" s="58" t="n">
        <f aca="false">IF(F123=Cadastros!$E$6,3,IF(F123=Cadastros!$E$7,6,IF(F123=Cadastros!$E$8,12,1)))</f>
        <v>1</v>
      </c>
    </row>
    <row r="124" customFormat="false" ht="15" hidden="false" customHeight="false" outlineLevel="0" collapsed="false">
      <c r="A124" s="49" t="str">
        <f aca="false">IF(B124="","",ROW()-4)</f>
        <v/>
      </c>
      <c r="B124" s="50"/>
      <c r="C124" s="50"/>
      <c r="D124" s="50"/>
      <c r="E124" s="51"/>
      <c r="F124" s="51"/>
      <c r="G124" s="51"/>
      <c r="H124" s="52"/>
      <c r="I124" s="53"/>
      <c r="J124" s="54"/>
      <c r="K124" s="53"/>
      <c r="L124" s="54"/>
      <c r="M124" s="55" t="str">
        <f aca="false">IF(L124="","",L124-J124)</f>
        <v/>
      </c>
      <c r="N124" s="56" t="str">
        <f aca="true">IF(I124="","",IF(K124&lt;&gt;"","PAGO",IF(I124&lt;TODAY(),"VENCIDO",IF(I124=TODAY(),"VENCE HOJE","A VENCER"))))</f>
        <v/>
      </c>
      <c r="O124" s="57" t="str">
        <f aca="true">IF(OR(I124="",K124&lt;&gt;""),"",I124-TODAY())</f>
        <v/>
      </c>
      <c r="P124" s="51"/>
      <c r="Q124" s="51"/>
      <c r="R124" s="51"/>
      <c r="S124" s="50"/>
      <c r="T124" s="50"/>
      <c r="U124" s="52"/>
      <c r="V124" s="58" t="n">
        <f aca="false">IF(OR(B124="",I124="",F124="",F124=Cadastros!$E$4,F124=Cadastros!$E$9),999999,IF(COUNTIFS($B$5:$B$504,B124,$I$5:$I$504,"&gt;"&amp;I124)=0,YEAR(I124)*12+MONTH(I124),999999))</f>
        <v>999999</v>
      </c>
      <c r="W124" s="58" t="n">
        <f aca="false">IF(U124="",999999,YEAR(U124)*12+MONTH(U124))</f>
        <v>999999</v>
      </c>
      <c r="X124" s="58" t="n">
        <f aca="false">IF(F124=Cadastros!$E$6,3,IF(F124=Cadastros!$E$7,6,IF(F124=Cadastros!$E$8,12,1)))</f>
        <v>1</v>
      </c>
    </row>
    <row r="125" customFormat="false" ht="15" hidden="false" customHeight="false" outlineLevel="0" collapsed="false">
      <c r="A125" s="49" t="str">
        <f aca="false">IF(B125="","",ROW()-4)</f>
        <v/>
      </c>
      <c r="B125" s="50"/>
      <c r="C125" s="50"/>
      <c r="D125" s="50"/>
      <c r="E125" s="51"/>
      <c r="F125" s="51"/>
      <c r="G125" s="51"/>
      <c r="H125" s="52"/>
      <c r="I125" s="53"/>
      <c r="J125" s="54"/>
      <c r="K125" s="53"/>
      <c r="L125" s="54"/>
      <c r="M125" s="55" t="str">
        <f aca="false">IF(L125="","",L125-J125)</f>
        <v/>
      </c>
      <c r="N125" s="56" t="str">
        <f aca="true">IF(I125="","",IF(K125&lt;&gt;"","PAGO",IF(I125&lt;TODAY(),"VENCIDO",IF(I125=TODAY(),"VENCE HOJE","A VENCER"))))</f>
        <v/>
      </c>
      <c r="O125" s="57" t="str">
        <f aca="true">IF(OR(I125="",K125&lt;&gt;""),"",I125-TODAY())</f>
        <v/>
      </c>
      <c r="P125" s="51"/>
      <c r="Q125" s="51"/>
      <c r="R125" s="51"/>
      <c r="S125" s="50"/>
      <c r="T125" s="50"/>
      <c r="U125" s="52"/>
      <c r="V125" s="58" t="n">
        <f aca="false">IF(OR(B125="",I125="",F125="",F125=Cadastros!$E$4,F125=Cadastros!$E$9),999999,IF(COUNTIFS($B$5:$B$504,B125,$I$5:$I$504,"&gt;"&amp;I125)=0,YEAR(I125)*12+MONTH(I125),999999))</f>
        <v>999999</v>
      </c>
      <c r="W125" s="58" t="n">
        <f aca="false">IF(U125="",999999,YEAR(U125)*12+MONTH(U125))</f>
        <v>999999</v>
      </c>
      <c r="X125" s="58" t="n">
        <f aca="false">IF(F125=Cadastros!$E$6,3,IF(F125=Cadastros!$E$7,6,IF(F125=Cadastros!$E$8,12,1)))</f>
        <v>1</v>
      </c>
    </row>
    <row r="126" customFormat="false" ht="15" hidden="false" customHeight="false" outlineLevel="0" collapsed="false">
      <c r="A126" s="49" t="str">
        <f aca="false">IF(B126="","",ROW()-4)</f>
        <v/>
      </c>
      <c r="B126" s="50"/>
      <c r="C126" s="50"/>
      <c r="D126" s="50"/>
      <c r="E126" s="51"/>
      <c r="F126" s="51"/>
      <c r="G126" s="51"/>
      <c r="H126" s="52"/>
      <c r="I126" s="53"/>
      <c r="J126" s="54"/>
      <c r="K126" s="53"/>
      <c r="L126" s="54"/>
      <c r="M126" s="55" t="str">
        <f aca="false">IF(L126="","",L126-J126)</f>
        <v/>
      </c>
      <c r="N126" s="56" t="str">
        <f aca="true">IF(I126="","",IF(K126&lt;&gt;"","PAGO",IF(I126&lt;TODAY(),"VENCIDO",IF(I126=TODAY(),"VENCE HOJE","A VENCER"))))</f>
        <v/>
      </c>
      <c r="O126" s="57" t="str">
        <f aca="true">IF(OR(I126="",K126&lt;&gt;""),"",I126-TODAY())</f>
        <v/>
      </c>
      <c r="P126" s="51"/>
      <c r="Q126" s="51"/>
      <c r="R126" s="51"/>
      <c r="S126" s="50"/>
      <c r="T126" s="50"/>
      <c r="U126" s="52"/>
      <c r="V126" s="58" t="n">
        <f aca="false">IF(OR(B126="",I126="",F126="",F126=Cadastros!$E$4,F126=Cadastros!$E$9),999999,IF(COUNTIFS($B$5:$B$504,B126,$I$5:$I$504,"&gt;"&amp;I126)=0,YEAR(I126)*12+MONTH(I126),999999))</f>
        <v>999999</v>
      </c>
      <c r="W126" s="58" t="n">
        <f aca="false">IF(U126="",999999,YEAR(U126)*12+MONTH(U126))</f>
        <v>999999</v>
      </c>
      <c r="X126" s="58" t="n">
        <f aca="false">IF(F126=Cadastros!$E$6,3,IF(F126=Cadastros!$E$7,6,IF(F126=Cadastros!$E$8,12,1)))</f>
        <v>1</v>
      </c>
    </row>
    <row r="127" customFormat="false" ht="15" hidden="false" customHeight="false" outlineLevel="0" collapsed="false">
      <c r="A127" s="49" t="str">
        <f aca="false">IF(B127="","",ROW()-4)</f>
        <v/>
      </c>
      <c r="B127" s="50"/>
      <c r="C127" s="50"/>
      <c r="D127" s="50"/>
      <c r="E127" s="51"/>
      <c r="F127" s="51"/>
      <c r="G127" s="51"/>
      <c r="H127" s="52"/>
      <c r="I127" s="53"/>
      <c r="J127" s="54"/>
      <c r="K127" s="53"/>
      <c r="L127" s="54"/>
      <c r="M127" s="55" t="str">
        <f aca="false">IF(L127="","",L127-J127)</f>
        <v/>
      </c>
      <c r="N127" s="56" t="str">
        <f aca="true">IF(I127="","",IF(K127&lt;&gt;"","PAGO",IF(I127&lt;TODAY(),"VENCIDO",IF(I127=TODAY(),"VENCE HOJE","A VENCER"))))</f>
        <v/>
      </c>
      <c r="O127" s="57" t="str">
        <f aca="true">IF(OR(I127="",K127&lt;&gt;""),"",I127-TODAY())</f>
        <v/>
      </c>
      <c r="P127" s="51"/>
      <c r="Q127" s="51"/>
      <c r="R127" s="51"/>
      <c r="S127" s="50"/>
      <c r="T127" s="50"/>
      <c r="U127" s="52"/>
      <c r="V127" s="58" t="n">
        <f aca="false">IF(OR(B127="",I127="",F127="",F127=Cadastros!$E$4,F127=Cadastros!$E$9),999999,IF(COUNTIFS($B$5:$B$504,B127,$I$5:$I$504,"&gt;"&amp;I127)=0,YEAR(I127)*12+MONTH(I127),999999))</f>
        <v>999999</v>
      </c>
      <c r="W127" s="58" t="n">
        <f aca="false">IF(U127="",999999,YEAR(U127)*12+MONTH(U127))</f>
        <v>999999</v>
      </c>
      <c r="X127" s="58" t="n">
        <f aca="false">IF(F127=Cadastros!$E$6,3,IF(F127=Cadastros!$E$7,6,IF(F127=Cadastros!$E$8,12,1)))</f>
        <v>1</v>
      </c>
    </row>
    <row r="128" customFormat="false" ht="15" hidden="false" customHeight="false" outlineLevel="0" collapsed="false">
      <c r="A128" s="49" t="str">
        <f aca="false">IF(B128="","",ROW()-4)</f>
        <v/>
      </c>
      <c r="B128" s="50"/>
      <c r="C128" s="50"/>
      <c r="D128" s="50"/>
      <c r="E128" s="51"/>
      <c r="F128" s="51"/>
      <c r="G128" s="51"/>
      <c r="H128" s="52"/>
      <c r="I128" s="53"/>
      <c r="J128" s="54"/>
      <c r="K128" s="53"/>
      <c r="L128" s="54"/>
      <c r="M128" s="55" t="str">
        <f aca="false">IF(L128="","",L128-J128)</f>
        <v/>
      </c>
      <c r="N128" s="56" t="str">
        <f aca="true">IF(I128="","",IF(K128&lt;&gt;"","PAGO",IF(I128&lt;TODAY(),"VENCIDO",IF(I128=TODAY(),"VENCE HOJE","A VENCER"))))</f>
        <v/>
      </c>
      <c r="O128" s="57" t="str">
        <f aca="true">IF(OR(I128="",K128&lt;&gt;""),"",I128-TODAY())</f>
        <v/>
      </c>
      <c r="P128" s="51"/>
      <c r="Q128" s="51"/>
      <c r="R128" s="51"/>
      <c r="S128" s="50"/>
      <c r="T128" s="50"/>
      <c r="U128" s="52"/>
      <c r="V128" s="58" t="n">
        <f aca="false">IF(OR(B128="",I128="",F128="",F128=Cadastros!$E$4,F128=Cadastros!$E$9),999999,IF(COUNTIFS($B$5:$B$504,B128,$I$5:$I$504,"&gt;"&amp;I128)=0,YEAR(I128)*12+MONTH(I128),999999))</f>
        <v>999999</v>
      </c>
      <c r="W128" s="58" t="n">
        <f aca="false">IF(U128="",999999,YEAR(U128)*12+MONTH(U128))</f>
        <v>999999</v>
      </c>
      <c r="X128" s="58" t="n">
        <f aca="false">IF(F128=Cadastros!$E$6,3,IF(F128=Cadastros!$E$7,6,IF(F128=Cadastros!$E$8,12,1)))</f>
        <v>1</v>
      </c>
    </row>
    <row r="129" customFormat="false" ht="15" hidden="false" customHeight="false" outlineLevel="0" collapsed="false">
      <c r="A129" s="49" t="str">
        <f aca="false">IF(B129="","",ROW()-4)</f>
        <v/>
      </c>
      <c r="B129" s="50"/>
      <c r="C129" s="50"/>
      <c r="D129" s="50"/>
      <c r="E129" s="51"/>
      <c r="F129" s="51"/>
      <c r="G129" s="51"/>
      <c r="H129" s="52"/>
      <c r="I129" s="53"/>
      <c r="J129" s="54"/>
      <c r="K129" s="53"/>
      <c r="L129" s="54"/>
      <c r="M129" s="55" t="str">
        <f aca="false">IF(L129="","",L129-J129)</f>
        <v/>
      </c>
      <c r="N129" s="56" t="str">
        <f aca="true">IF(I129="","",IF(K129&lt;&gt;"","PAGO",IF(I129&lt;TODAY(),"VENCIDO",IF(I129=TODAY(),"VENCE HOJE","A VENCER"))))</f>
        <v/>
      </c>
      <c r="O129" s="57" t="str">
        <f aca="true">IF(OR(I129="",K129&lt;&gt;""),"",I129-TODAY())</f>
        <v/>
      </c>
      <c r="P129" s="51"/>
      <c r="Q129" s="51"/>
      <c r="R129" s="51"/>
      <c r="S129" s="50"/>
      <c r="T129" s="50"/>
      <c r="U129" s="52"/>
      <c r="V129" s="58" t="n">
        <f aca="false">IF(OR(B129="",I129="",F129="",F129=Cadastros!$E$4,F129=Cadastros!$E$9),999999,IF(COUNTIFS($B$5:$B$504,B129,$I$5:$I$504,"&gt;"&amp;I129)=0,YEAR(I129)*12+MONTH(I129),999999))</f>
        <v>999999</v>
      </c>
      <c r="W129" s="58" t="n">
        <f aca="false">IF(U129="",999999,YEAR(U129)*12+MONTH(U129))</f>
        <v>999999</v>
      </c>
      <c r="X129" s="58" t="n">
        <f aca="false">IF(F129=Cadastros!$E$6,3,IF(F129=Cadastros!$E$7,6,IF(F129=Cadastros!$E$8,12,1)))</f>
        <v>1</v>
      </c>
    </row>
    <row r="130" customFormat="false" ht="15" hidden="false" customHeight="false" outlineLevel="0" collapsed="false">
      <c r="A130" s="49" t="str">
        <f aca="false">IF(B130="","",ROW()-4)</f>
        <v/>
      </c>
      <c r="B130" s="50"/>
      <c r="C130" s="50"/>
      <c r="D130" s="50"/>
      <c r="E130" s="51"/>
      <c r="F130" s="51"/>
      <c r="G130" s="51"/>
      <c r="H130" s="52"/>
      <c r="I130" s="53"/>
      <c r="J130" s="54"/>
      <c r="K130" s="53"/>
      <c r="L130" s="54"/>
      <c r="M130" s="55" t="str">
        <f aca="false">IF(L130="","",L130-J130)</f>
        <v/>
      </c>
      <c r="N130" s="56" t="str">
        <f aca="true">IF(I130="","",IF(K130&lt;&gt;"","PAGO",IF(I130&lt;TODAY(),"VENCIDO",IF(I130=TODAY(),"VENCE HOJE","A VENCER"))))</f>
        <v/>
      </c>
      <c r="O130" s="57" t="str">
        <f aca="true">IF(OR(I130="",K130&lt;&gt;""),"",I130-TODAY())</f>
        <v/>
      </c>
      <c r="P130" s="51"/>
      <c r="Q130" s="51"/>
      <c r="R130" s="51"/>
      <c r="S130" s="50"/>
      <c r="T130" s="50"/>
      <c r="U130" s="52"/>
      <c r="V130" s="58" t="n">
        <f aca="false">IF(OR(B130="",I130="",F130="",F130=Cadastros!$E$4,F130=Cadastros!$E$9),999999,IF(COUNTIFS($B$5:$B$504,B130,$I$5:$I$504,"&gt;"&amp;I130)=0,YEAR(I130)*12+MONTH(I130),999999))</f>
        <v>999999</v>
      </c>
      <c r="W130" s="58" t="n">
        <f aca="false">IF(U130="",999999,YEAR(U130)*12+MONTH(U130))</f>
        <v>999999</v>
      </c>
      <c r="X130" s="58" t="n">
        <f aca="false">IF(F130=Cadastros!$E$6,3,IF(F130=Cadastros!$E$7,6,IF(F130=Cadastros!$E$8,12,1)))</f>
        <v>1</v>
      </c>
    </row>
    <row r="131" customFormat="false" ht="15" hidden="false" customHeight="false" outlineLevel="0" collapsed="false">
      <c r="A131" s="49" t="str">
        <f aca="false">IF(B131="","",ROW()-4)</f>
        <v/>
      </c>
      <c r="B131" s="50"/>
      <c r="C131" s="50"/>
      <c r="D131" s="50"/>
      <c r="E131" s="51"/>
      <c r="F131" s="51"/>
      <c r="G131" s="51"/>
      <c r="H131" s="52"/>
      <c r="I131" s="53"/>
      <c r="J131" s="54"/>
      <c r="K131" s="53"/>
      <c r="L131" s="54"/>
      <c r="M131" s="55" t="str">
        <f aca="false">IF(L131="","",L131-J131)</f>
        <v/>
      </c>
      <c r="N131" s="56" t="str">
        <f aca="true">IF(I131="","",IF(K131&lt;&gt;"","PAGO",IF(I131&lt;TODAY(),"VENCIDO",IF(I131=TODAY(),"VENCE HOJE","A VENCER"))))</f>
        <v/>
      </c>
      <c r="O131" s="57" t="str">
        <f aca="true">IF(OR(I131="",K131&lt;&gt;""),"",I131-TODAY())</f>
        <v/>
      </c>
      <c r="P131" s="51"/>
      <c r="Q131" s="51"/>
      <c r="R131" s="51"/>
      <c r="S131" s="50"/>
      <c r="T131" s="50"/>
      <c r="U131" s="52"/>
      <c r="V131" s="58" t="n">
        <f aca="false">IF(OR(B131="",I131="",F131="",F131=Cadastros!$E$4,F131=Cadastros!$E$9),999999,IF(COUNTIFS($B$5:$B$504,B131,$I$5:$I$504,"&gt;"&amp;I131)=0,YEAR(I131)*12+MONTH(I131),999999))</f>
        <v>999999</v>
      </c>
      <c r="W131" s="58" t="n">
        <f aca="false">IF(U131="",999999,YEAR(U131)*12+MONTH(U131))</f>
        <v>999999</v>
      </c>
      <c r="X131" s="58" t="n">
        <f aca="false">IF(F131=Cadastros!$E$6,3,IF(F131=Cadastros!$E$7,6,IF(F131=Cadastros!$E$8,12,1)))</f>
        <v>1</v>
      </c>
    </row>
    <row r="132" customFormat="false" ht="15" hidden="false" customHeight="false" outlineLevel="0" collapsed="false">
      <c r="A132" s="49" t="str">
        <f aca="false">IF(B132="","",ROW()-4)</f>
        <v/>
      </c>
      <c r="B132" s="50"/>
      <c r="C132" s="50"/>
      <c r="D132" s="50"/>
      <c r="E132" s="51"/>
      <c r="F132" s="51"/>
      <c r="G132" s="51"/>
      <c r="H132" s="52"/>
      <c r="I132" s="53"/>
      <c r="J132" s="54"/>
      <c r="K132" s="53"/>
      <c r="L132" s="54"/>
      <c r="M132" s="55" t="str">
        <f aca="false">IF(L132="","",L132-J132)</f>
        <v/>
      </c>
      <c r="N132" s="56" t="str">
        <f aca="true">IF(I132="","",IF(K132&lt;&gt;"","PAGO",IF(I132&lt;TODAY(),"VENCIDO",IF(I132=TODAY(),"VENCE HOJE","A VENCER"))))</f>
        <v/>
      </c>
      <c r="O132" s="57" t="str">
        <f aca="true">IF(OR(I132="",K132&lt;&gt;""),"",I132-TODAY())</f>
        <v/>
      </c>
      <c r="P132" s="51"/>
      <c r="Q132" s="51"/>
      <c r="R132" s="51"/>
      <c r="S132" s="50"/>
      <c r="T132" s="50"/>
      <c r="U132" s="52"/>
      <c r="V132" s="58" t="n">
        <f aca="false">IF(OR(B132="",I132="",F132="",F132=Cadastros!$E$4,F132=Cadastros!$E$9),999999,IF(COUNTIFS($B$5:$B$504,B132,$I$5:$I$504,"&gt;"&amp;I132)=0,YEAR(I132)*12+MONTH(I132),999999))</f>
        <v>999999</v>
      </c>
      <c r="W132" s="58" t="n">
        <f aca="false">IF(U132="",999999,YEAR(U132)*12+MONTH(U132))</f>
        <v>999999</v>
      </c>
      <c r="X132" s="58" t="n">
        <f aca="false">IF(F132=Cadastros!$E$6,3,IF(F132=Cadastros!$E$7,6,IF(F132=Cadastros!$E$8,12,1)))</f>
        <v>1</v>
      </c>
    </row>
    <row r="133" customFormat="false" ht="15" hidden="false" customHeight="false" outlineLevel="0" collapsed="false">
      <c r="A133" s="49" t="str">
        <f aca="false">IF(B133="","",ROW()-4)</f>
        <v/>
      </c>
      <c r="B133" s="50"/>
      <c r="C133" s="50"/>
      <c r="D133" s="50"/>
      <c r="E133" s="51"/>
      <c r="F133" s="51"/>
      <c r="G133" s="51"/>
      <c r="H133" s="52"/>
      <c r="I133" s="53"/>
      <c r="J133" s="54"/>
      <c r="K133" s="53"/>
      <c r="L133" s="54"/>
      <c r="M133" s="55" t="str">
        <f aca="false">IF(L133="","",L133-J133)</f>
        <v/>
      </c>
      <c r="N133" s="56" t="str">
        <f aca="true">IF(I133="","",IF(K133&lt;&gt;"","PAGO",IF(I133&lt;TODAY(),"VENCIDO",IF(I133=TODAY(),"VENCE HOJE","A VENCER"))))</f>
        <v/>
      </c>
      <c r="O133" s="57" t="str">
        <f aca="true">IF(OR(I133="",K133&lt;&gt;""),"",I133-TODAY())</f>
        <v/>
      </c>
      <c r="P133" s="51"/>
      <c r="Q133" s="51"/>
      <c r="R133" s="51"/>
      <c r="S133" s="50"/>
      <c r="T133" s="50"/>
      <c r="U133" s="52"/>
      <c r="V133" s="58" t="n">
        <f aca="false">IF(OR(B133="",I133="",F133="",F133=Cadastros!$E$4,F133=Cadastros!$E$9),999999,IF(COUNTIFS($B$5:$B$504,B133,$I$5:$I$504,"&gt;"&amp;I133)=0,YEAR(I133)*12+MONTH(I133),999999))</f>
        <v>999999</v>
      </c>
      <c r="W133" s="58" t="n">
        <f aca="false">IF(U133="",999999,YEAR(U133)*12+MONTH(U133))</f>
        <v>999999</v>
      </c>
      <c r="X133" s="58" t="n">
        <f aca="false">IF(F133=Cadastros!$E$6,3,IF(F133=Cadastros!$E$7,6,IF(F133=Cadastros!$E$8,12,1)))</f>
        <v>1</v>
      </c>
    </row>
    <row r="134" customFormat="false" ht="15" hidden="false" customHeight="false" outlineLevel="0" collapsed="false">
      <c r="A134" s="49" t="str">
        <f aca="false">IF(B134="","",ROW()-4)</f>
        <v/>
      </c>
      <c r="B134" s="50"/>
      <c r="C134" s="50"/>
      <c r="D134" s="50"/>
      <c r="E134" s="51"/>
      <c r="F134" s="51"/>
      <c r="G134" s="51"/>
      <c r="H134" s="52"/>
      <c r="I134" s="53"/>
      <c r="J134" s="54"/>
      <c r="K134" s="53"/>
      <c r="L134" s="54"/>
      <c r="M134" s="55" t="str">
        <f aca="false">IF(L134="","",L134-J134)</f>
        <v/>
      </c>
      <c r="N134" s="56" t="str">
        <f aca="true">IF(I134="","",IF(K134&lt;&gt;"","PAGO",IF(I134&lt;TODAY(),"VENCIDO",IF(I134=TODAY(),"VENCE HOJE","A VENCER"))))</f>
        <v/>
      </c>
      <c r="O134" s="57" t="str">
        <f aca="true">IF(OR(I134="",K134&lt;&gt;""),"",I134-TODAY())</f>
        <v/>
      </c>
      <c r="P134" s="51"/>
      <c r="Q134" s="51"/>
      <c r="R134" s="51"/>
      <c r="S134" s="50"/>
      <c r="T134" s="50"/>
      <c r="U134" s="52"/>
      <c r="V134" s="58" t="n">
        <f aca="false">IF(OR(B134="",I134="",F134="",F134=Cadastros!$E$4,F134=Cadastros!$E$9),999999,IF(COUNTIFS($B$5:$B$504,B134,$I$5:$I$504,"&gt;"&amp;I134)=0,YEAR(I134)*12+MONTH(I134),999999))</f>
        <v>999999</v>
      </c>
      <c r="W134" s="58" t="n">
        <f aca="false">IF(U134="",999999,YEAR(U134)*12+MONTH(U134))</f>
        <v>999999</v>
      </c>
      <c r="X134" s="58" t="n">
        <f aca="false">IF(F134=Cadastros!$E$6,3,IF(F134=Cadastros!$E$7,6,IF(F134=Cadastros!$E$8,12,1)))</f>
        <v>1</v>
      </c>
    </row>
    <row r="135" customFormat="false" ht="15" hidden="false" customHeight="false" outlineLevel="0" collapsed="false">
      <c r="A135" s="49" t="str">
        <f aca="false">IF(B135="","",ROW()-4)</f>
        <v/>
      </c>
      <c r="B135" s="50"/>
      <c r="C135" s="50"/>
      <c r="D135" s="50"/>
      <c r="E135" s="51"/>
      <c r="F135" s="51"/>
      <c r="G135" s="51"/>
      <c r="H135" s="52"/>
      <c r="I135" s="53"/>
      <c r="J135" s="54"/>
      <c r="K135" s="53"/>
      <c r="L135" s="54"/>
      <c r="M135" s="55" t="str">
        <f aca="false">IF(L135="","",L135-J135)</f>
        <v/>
      </c>
      <c r="N135" s="56" t="str">
        <f aca="true">IF(I135="","",IF(K135&lt;&gt;"","PAGO",IF(I135&lt;TODAY(),"VENCIDO",IF(I135=TODAY(),"VENCE HOJE","A VENCER"))))</f>
        <v/>
      </c>
      <c r="O135" s="57" t="str">
        <f aca="true">IF(OR(I135="",K135&lt;&gt;""),"",I135-TODAY())</f>
        <v/>
      </c>
      <c r="P135" s="51"/>
      <c r="Q135" s="51"/>
      <c r="R135" s="51"/>
      <c r="S135" s="50"/>
      <c r="T135" s="50"/>
      <c r="U135" s="52"/>
      <c r="V135" s="58" t="n">
        <f aca="false">IF(OR(B135="",I135="",F135="",F135=Cadastros!$E$4,F135=Cadastros!$E$9),999999,IF(COUNTIFS($B$5:$B$504,B135,$I$5:$I$504,"&gt;"&amp;I135)=0,YEAR(I135)*12+MONTH(I135),999999))</f>
        <v>999999</v>
      </c>
      <c r="W135" s="58" t="n">
        <f aca="false">IF(U135="",999999,YEAR(U135)*12+MONTH(U135))</f>
        <v>999999</v>
      </c>
      <c r="X135" s="58" t="n">
        <f aca="false">IF(F135=Cadastros!$E$6,3,IF(F135=Cadastros!$E$7,6,IF(F135=Cadastros!$E$8,12,1)))</f>
        <v>1</v>
      </c>
    </row>
    <row r="136" customFormat="false" ht="15" hidden="false" customHeight="false" outlineLevel="0" collapsed="false">
      <c r="A136" s="49" t="str">
        <f aca="false">IF(B136="","",ROW()-4)</f>
        <v/>
      </c>
      <c r="B136" s="50"/>
      <c r="C136" s="50"/>
      <c r="D136" s="50"/>
      <c r="E136" s="51"/>
      <c r="F136" s="51"/>
      <c r="G136" s="51"/>
      <c r="H136" s="52"/>
      <c r="I136" s="53"/>
      <c r="J136" s="54"/>
      <c r="K136" s="53"/>
      <c r="L136" s="54"/>
      <c r="M136" s="55" t="str">
        <f aca="false">IF(L136="","",L136-J136)</f>
        <v/>
      </c>
      <c r="N136" s="56" t="str">
        <f aca="true">IF(I136="","",IF(K136&lt;&gt;"","PAGO",IF(I136&lt;TODAY(),"VENCIDO",IF(I136=TODAY(),"VENCE HOJE","A VENCER"))))</f>
        <v/>
      </c>
      <c r="O136" s="57" t="str">
        <f aca="true">IF(OR(I136="",K136&lt;&gt;""),"",I136-TODAY())</f>
        <v/>
      </c>
      <c r="P136" s="51"/>
      <c r="Q136" s="51"/>
      <c r="R136" s="51"/>
      <c r="S136" s="50"/>
      <c r="T136" s="50"/>
      <c r="U136" s="52"/>
      <c r="V136" s="58" t="n">
        <f aca="false">IF(OR(B136="",I136="",F136="",F136=Cadastros!$E$4,F136=Cadastros!$E$9),999999,IF(COUNTIFS($B$5:$B$504,B136,$I$5:$I$504,"&gt;"&amp;I136)=0,YEAR(I136)*12+MONTH(I136),999999))</f>
        <v>999999</v>
      </c>
      <c r="W136" s="58" t="n">
        <f aca="false">IF(U136="",999999,YEAR(U136)*12+MONTH(U136))</f>
        <v>999999</v>
      </c>
      <c r="X136" s="58" t="n">
        <f aca="false">IF(F136=Cadastros!$E$6,3,IF(F136=Cadastros!$E$7,6,IF(F136=Cadastros!$E$8,12,1)))</f>
        <v>1</v>
      </c>
    </row>
    <row r="137" customFormat="false" ht="15" hidden="false" customHeight="false" outlineLevel="0" collapsed="false">
      <c r="A137" s="49" t="str">
        <f aca="false">IF(B137="","",ROW()-4)</f>
        <v/>
      </c>
      <c r="B137" s="50"/>
      <c r="C137" s="50"/>
      <c r="D137" s="50"/>
      <c r="E137" s="51"/>
      <c r="F137" s="51"/>
      <c r="G137" s="51"/>
      <c r="H137" s="52"/>
      <c r="I137" s="53"/>
      <c r="J137" s="54"/>
      <c r="K137" s="53"/>
      <c r="L137" s="54"/>
      <c r="M137" s="55" t="str">
        <f aca="false">IF(L137="","",L137-J137)</f>
        <v/>
      </c>
      <c r="N137" s="56" t="str">
        <f aca="true">IF(I137="","",IF(K137&lt;&gt;"","PAGO",IF(I137&lt;TODAY(),"VENCIDO",IF(I137=TODAY(),"VENCE HOJE","A VENCER"))))</f>
        <v/>
      </c>
      <c r="O137" s="57" t="str">
        <f aca="true">IF(OR(I137="",K137&lt;&gt;""),"",I137-TODAY())</f>
        <v/>
      </c>
      <c r="P137" s="51"/>
      <c r="Q137" s="51"/>
      <c r="R137" s="51"/>
      <c r="S137" s="50"/>
      <c r="T137" s="50"/>
      <c r="U137" s="52"/>
      <c r="V137" s="58" t="n">
        <f aca="false">IF(OR(B137="",I137="",F137="",F137=Cadastros!$E$4,F137=Cadastros!$E$9),999999,IF(COUNTIFS($B$5:$B$504,B137,$I$5:$I$504,"&gt;"&amp;I137)=0,YEAR(I137)*12+MONTH(I137),999999))</f>
        <v>999999</v>
      </c>
      <c r="W137" s="58" t="n">
        <f aca="false">IF(U137="",999999,YEAR(U137)*12+MONTH(U137))</f>
        <v>999999</v>
      </c>
      <c r="X137" s="58" t="n">
        <f aca="false">IF(F137=Cadastros!$E$6,3,IF(F137=Cadastros!$E$7,6,IF(F137=Cadastros!$E$8,12,1)))</f>
        <v>1</v>
      </c>
    </row>
    <row r="138" customFormat="false" ht="15" hidden="false" customHeight="false" outlineLevel="0" collapsed="false">
      <c r="A138" s="49" t="str">
        <f aca="false">IF(B138="","",ROW()-4)</f>
        <v/>
      </c>
      <c r="B138" s="50"/>
      <c r="C138" s="50"/>
      <c r="D138" s="50"/>
      <c r="E138" s="51"/>
      <c r="F138" s="51"/>
      <c r="G138" s="51"/>
      <c r="H138" s="52"/>
      <c r="I138" s="53"/>
      <c r="J138" s="54"/>
      <c r="K138" s="53"/>
      <c r="L138" s="54"/>
      <c r="M138" s="55" t="str">
        <f aca="false">IF(L138="","",L138-J138)</f>
        <v/>
      </c>
      <c r="N138" s="56" t="str">
        <f aca="true">IF(I138="","",IF(K138&lt;&gt;"","PAGO",IF(I138&lt;TODAY(),"VENCIDO",IF(I138=TODAY(),"VENCE HOJE","A VENCER"))))</f>
        <v/>
      </c>
      <c r="O138" s="57" t="str">
        <f aca="true">IF(OR(I138="",K138&lt;&gt;""),"",I138-TODAY())</f>
        <v/>
      </c>
      <c r="P138" s="51"/>
      <c r="Q138" s="51"/>
      <c r="R138" s="51"/>
      <c r="S138" s="50"/>
      <c r="T138" s="50"/>
      <c r="U138" s="52"/>
      <c r="V138" s="58" t="n">
        <f aca="false">IF(OR(B138="",I138="",F138="",F138=Cadastros!$E$4,F138=Cadastros!$E$9),999999,IF(COUNTIFS($B$5:$B$504,B138,$I$5:$I$504,"&gt;"&amp;I138)=0,YEAR(I138)*12+MONTH(I138),999999))</f>
        <v>999999</v>
      </c>
      <c r="W138" s="58" t="n">
        <f aca="false">IF(U138="",999999,YEAR(U138)*12+MONTH(U138))</f>
        <v>999999</v>
      </c>
      <c r="X138" s="58" t="n">
        <f aca="false">IF(F138=Cadastros!$E$6,3,IF(F138=Cadastros!$E$7,6,IF(F138=Cadastros!$E$8,12,1)))</f>
        <v>1</v>
      </c>
    </row>
    <row r="139" customFormat="false" ht="15" hidden="false" customHeight="false" outlineLevel="0" collapsed="false">
      <c r="A139" s="49" t="str">
        <f aca="false">IF(B139="","",ROW()-4)</f>
        <v/>
      </c>
      <c r="B139" s="50"/>
      <c r="C139" s="50"/>
      <c r="D139" s="50"/>
      <c r="E139" s="51"/>
      <c r="F139" s="51"/>
      <c r="G139" s="51"/>
      <c r="H139" s="52"/>
      <c r="I139" s="53"/>
      <c r="J139" s="54"/>
      <c r="K139" s="53"/>
      <c r="L139" s="54"/>
      <c r="M139" s="55" t="str">
        <f aca="false">IF(L139="","",L139-J139)</f>
        <v/>
      </c>
      <c r="N139" s="56" t="str">
        <f aca="true">IF(I139="","",IF(K139&lt;&gt;"","PAGO",IF(I139&lt;TODAY(),"VENCIDO",IF(I139=TODAY(),"VENCE HOJE","A VENCER"))))</f>
        <v/>
      </c>
      <c r="O139" s="57" t="str">
        <f aca="true">IF(OR(I139="",K139&lt;&gt;""),"",I139-TODAY())</f>
        <v/>
      </c>
      <c r="P139" s="51"/>
      <c r="Q139" s="51"/>
      <c r="R139" s="51"/>
      <c r="S139" s="50"/>
      <c r="T139" s="50"/>
      <c r="U139" s="52"/>
      <c r="V139" s="58" t="n">
        <f aca="false">IF(OR(B139="",I139="",F139="",F139=Cadastros!$E$4,F139=Cadastros!$E$9),999999,IF(COUNTIFS($B$5:$B$504,B139,$I$5:$I$504,"&gt;"&amp;I139)=0,YEAR(I139)*12+MONTH(I139),999999))</f>
        <v>999999</v>
      </c>
      <c r="W139" s="58" t="n">
        <f aca="false">IF(U139="",999999,YEAR(U139)*12+MONTH(U139))</f>
        <v>999999</v>
      </c>
      <c r="X139" s="58" t="n">
        <f aca="false">IF(F139=Cadastros!$E$6,3,IF(F139=Cadastros!$E$7,6,IF(F139=Cadastros!$E$8,12,1)))</f>
        <v>1</v>
      </c>
    </row>
    <row r="140" customFormat="false" ht="15" hidden="false" customHeight="false" outlineLevel="0" collapsed="false">
      <c r="A140" s="49" t="str">
        <f aca="false">IF(B140="","",ROW()-4)</f>
        <v/>
      </c>
      <c r="B140" s="50"/>
      <c r="C140" s="50"/>
      <c r="D140" s="50"/>
      <c r="E140" s="51"/>
      <c r="F140" s="51"/>
      <c r="G140" s="51"/>
      <c r="H140" s="52"/>
      <c r="I140" s="53"/>
      <c r="J140" s="54"/>
      <c r="K140" s="53"/>
      <c r="L140" s="54"/>
      <c r="M140" s="55" t="str">
        <f aca="false">IF(L140="","",L140-J140)</f>
        <v/>
      </c>
      <c r="N140" s="56" t="str">
        <f aca="true">IF(I140="","",IF(K140&lt;&gt;"","PAGO",IF(I140&lt;TODAY(),"VENCIDO",IF(I140=TODAY(),"VENCE HOJE","A VENCER"))))</f>
        <v/>
      </c>
      <c r="O140" s="57" t="str">
        <f aca="true">IF(OR(I140="",K140&lt;&gt;""),"",I140-TODAY())</f>
        <v/>
      </c>
      <c r="P140" s="51"/>
      <c r="Q140" s="51"/>
      <c r="R140" s="51"/>
      <c r="S140" s="50"/>
      <c r="T140" s="50"/>
      <c r="U140" s="52"/>
      <c r="V140" s="58" t="n">
        <f aca="false">IF(OR(B140="",I140="",F140="",F140=Cadastros!$E$4,F140=Cadastros!$E$9),999999,IF(COUNTIFS($B$5:$B$504,B140,$I$5:$I$504,"&gt;"&amp;I140)=0,YEAR(I140)*12+MONTH(I140),999999))</f>
        <v>999999</v>
      </c>
      <c r="W140" s="58" t="n">
        <f aca="false">IF(U140="",999999,YEAR(U140)*12+MONTH(U140))</f>
        <v>999999</v>
      </c>
      <c r="X140" s="58" t="n">
        <f aca="false">IF(F140=Cadastros!$E$6,3,IF(F140=Cadastros!$E$7,6,IF(F140=Cadastros!$E$8,12,1)))</f>
        <v>1</v>
      </c>
    </row>
    <row r="141" customFormat="false" ht="15" hidden="false" customHeight="false" outlineLevel="0" collapsed="false">
      <c r="A141" s="49" t="str">
        <f aca="false">IF(B141="","",ROW()-4)</f>
        <v/>
      </c>
      <c r="B141" s="50"/>
      <c r="C141" s="50"/>
      <c r="D141" s="50"/>
      <c r="E141" s="51"/>
      <c r="F141" s="51"/>
      <c r="G141" s="51"/>
      <c r="H141" s="52"/>
      <c r="I141" s="53"/>
      <c r="J141" s="54"/>
      <c r="K141" s="53"/>
      <c r="L141" s="54"/>
      <c r="M141" s="55" t="str">
        <f aca="false">IF(L141="","",L141-J141)</f>
        <v/>
      </c>
      <c r="N141" s="56" t="str">
        <f aca="true">IF(I141="","",IF(K141&lt;&gt;"","PAGO",IF(I141&lt;TODAY(),"VENCIDO",IF(I141=TODAY(),"VENCE HOJE","A VENCER"))))</f>
        <v/>
      </c>
      <c r="O141" s="57" t="str">
        <f aca="true">IF(OR(I141="",K141&lt;&gt;""),"",I141-TODAY())</f>
        <v/>
      </c>
      <c r="P141" s="51"/>
      <c r="Q141" s="51"/>
      <c r="R141" s="51"/>
      <c r="S141" s="50"/>
      <c r="T141" s="50"/>
      <c r="U141" s="52"/>
      <c r="V141" s="58" t="n">
        <f aca="false">IF(OR(B141="",I141="",F141="",F141=Cadastros!$E$4,F141=Cadastros!$E$9),999999,IF(COUNTIFS($B$5:$B$504,B141,$I$5:$I$504,"&gt;"&amp;I141)=0,YEAR(I141)*12+MONTH(I141),999999))</f>
        <v>999999</v>
      </c>
      <c r="W141" s="58" t="n">
        <f aca="false">IF(U141="",999999,YEAR(U141)*12+MONTH(U141))</f>
        <v>999999</v>
      </c>
      <c r="X141" s="58" t="n">
        <f aca="false">IF(F141=Cadastros!$E$6,3,IF(F141=Cadastros!$E$7,6,IF(F141=Cadastros!$E$8,12,1)))</f>
        <v>1</v>
      </c>
    </row>
    <row r="142" customFormat="false" ht="15" hidden="false" customHeight="false" outlineLevel="0" collapsed="false">
      <c r="A142" s="49" t="str">
        <f aca="false">IF(B142="","",ROW()-4)</f>
        <v/>
      </c>
      <c r="B142" s="50"/>
      <c r="C142" s="50"/>
      <c r="D142" s="50"/>
      <c r="E142" s="51"/>
      <c r="F142" s="51"/>
      <c r="G142" s="51"/>
      <c r="H142" s="52"/>
      <c r="I142" s="53"/>
      <c r="J142" s="54"/>
      <c r="K142" s="53"/>
      <c r="L142" s="54"/>
      <c r="M142" s="55" t="str">
        <f aca="false">IF(L142="","",L142-J142)</f>
        <v/>
      </c>
      <c r="N142" s="56" t="str">
        <f aca="true">IF(I142="","",IF(K142&lt;&gt;"","PAGO",IF(I142&lt;TODAY(),"VENCIDO",IF(I142=TODAY(),"VENCE HOJE","A VENCER"))))</f>
        <v/>
      </c>
      <c r="O142" s="57" t="str">
        <f aca="true">IF(OR(I142="",K142&lt;&gt;""),"",I142-TODAY())</f>
        <v/>
      </c>
      <c r="P142" s="51"/>
      <c r="Q142" s="51"/>
      <c r="R142" s="51"/>
      <c r="S142" s="50"/>
      <c r="T142" s="50"/>
      <c r="U142" s="52"/>
      <c r="V142" s="58" t="n">
        <f aca="false">IF(OR(B142="",I142="",F142="",F142=Cadastros!$E$4,F142=Cadastros!$E$9),999999,IF(COUNTIFS($B$5:$B$504,B142,$I$5:$I$504,"&gt;"&amp;I142)=0,YEAR(I142)*12+MONTH(I142),999999))</f>
        <v>999999</v>
      </c>
      <c r="W142" s="58" t="n">
        <f aca="false">IF(U142="",999999,YEAR(U142)*12+MONTH(U142))</f>
        <v>999999</v>
      </c>
      <c r="X142" s="58" t="n">
        <f aca="false">IF(F142=Cadastros!$E$6,3,IF(F142=Cadastros!$E$7,6,IF(F142=Cadastros!$E$8,12,1)))</f>
        <v>1</v>
      </c>
    </row>
    <row r="143" customFormat="false" ht="15" hidden="false" customHeight="false" outlineLevel="0" collapsed="false">
      <c r="A143" s="49" t="str">
        <f aca="false">IF(B143="","",ROW()-4)</f>
        <v/>
      </c>
      <c r="B143" s="50"/>
      <c r="C143" s="50"/>
      <c r="D143" s="50"/>
      <c r="E143" s="51"/>
      <c r="F143" s="51"/>
      <c r="G143" s="51"/>
      <c r="H143" s="52"/>
      <c r="I143" s="53"/>
      <c r="J143" s="54"/>
      <c r="K143" s="53"/>
      <c r="L143" s="54"/>
      <c r="M143" s="55" t="str">
        <f aca="false">IF(L143="","",L143-J143)</f>
        <v/>
      </c>
      <c r="N143" s="56" t="str">
        <f aca="true">IF(I143="","",IF(K143&lt;&gt;"","PAGO",IF(I143&lt;TODAY(),"VENCIDO",IF(I143=TODAY(),"VENCE HOJE","A VENCER"))))</f>
        <v/>
      </c>
      <c r="O143" s="57" t="str">
        <f aca="true">IF(OR(I143="",K143&lt;&gt;""),"",I143-TODAY())</f>
        <v/>
      </c>
      <c r="P143" s="51"/>
      <c r="Q143" s="51"/>
      <c r="R143" s="51"/>
      <c r="S143" s="50"/>
      <c r="T143" s="50"/>
      <c r="U143" s="52"/>
      <c r="V143" s="58" t="n">
        <f aca="false">IF(OR(B143="",I143="",F143="",F143=Cadastros!$E$4,F143=Cadastros!$E$9),999999,IF(COUNTIFS($B$5:$B$504,B143,$I$5:$I$504,"&gt;"&amp;I143)=0,YEAR(I143)*12+MONTH(I143),999999))</f>
        <v>999999</v>
      </c>
      <c r="W143" s="58" t="n">
        <f aca="false">IF(U143="",999999,YEAR(U143)*12+MONTH(U143))</f>
        <v>999999</v>
      </c>
      <c r="X143" s="58" t="n">
        <f aca="false">IF(F143=Cadastros!$E$6,3,IF(F143=Cadastros!$E$7,6,IF(F143=Cadastros!$E$8,12,1)))</f>
        <v>1</v>
      </c>
    </row>
    <row r="144" customFormat="false" ht="15" hidden="false" customHeight="false" outlineLevel="0" collapsed="false">
      <c r="A144" s="49" t="str">
        <f aca="false">IF(B144="","",ROW()-4)</f>
        <v/>
      </c>
      <c r="B144" s="50"/>
      <c r="C144" s="50"/>
      <c r="D144" s="50"/>
      <c r="E144" s="51"/>
      <c r="F144" s="51"/>
      <c r="G144" s="51"/>
      <c r="H144" s="52"/>
      <c r="I144" s="53"/>
      <c r="J144" s="54"/>
      <c r="K144" s="53"/>
      <c r="L144" s="54"/>
      <c r="M144" s="55" t="str">
        <f aca="false">IF(L144="","",L144-J144)</f>
        <v/>
      </c>
      <c r="N144" s="56" t="str">
        <f aca="true">IF(I144="","",IF(K144&lt;&gt;"","PAGO",IF(I144&lt;TODAY(),"VENCIDO",IF(I144=TODAY(),"VENCE HOJE","A VENCER"))))</f>
        <v/>
      </c>
      <c r="O144" s="57" t="str">
        <f aca="true">IF(OR(I144="",K144&lt;&gt;""),"",I144-TODAY())</f>
        <v/>
      </c>
      <c r="P144" s="51"/>
      <c r="Q144" s="51"/>
      <c r="R144" s="51"/>
      <c r="S144" s="50"/>
      <c r="T144" s="50"/>
      <c r="U144" s="52"/>
      <c r="V144" s="58" t="n">
        <f aca="false">IF(OR(B144="",I144="",F144="",F144=Cadastros!$E$4,F144=Cadastros!$E$9),999999,IF(COUNTIFS($B$5:$B$504,B144,$I$5:$I$504,"&gt;"&amp;I144)=0,YEAR(I144)*12+MONTH(I144),999999))</f>
        <v>999999</v>
      </c>
      <c r="W144" s="58" t="n">
        <f aca="false">IF(U144="",999999,YEAR(U144)*12+MONTH(U144))</f>
        <v>999999</v>
      </c>
      <c r="X144" s="58" t="n">
        <f aca="false">IF(F144=Cadastros!$E$6,3,IF(F144=Cadastros!$E$7,6,IF(F144=Cadastros!$E$8,12,1)))</f>
        <v>1</v>
      </c>
    </row>
    <row r="145" customFormat="false" ht="15" hidden="false" customHeight="false" outlineLevel="0" collapsed="false">
      <c r="A145" s="49" t="str">
        <f aca="false">IF(B145="","",ROW()-4)</f>
        <v/>
      </c>
      <c r="B145" s="50"/>
      <c r="C145" s="50"/>
      <c r="D145" s="50"/>
      <c r="E145" s="51"/>
      <c r="F145" s="51"/>
      <c r="G145" s="51"/>
      <c r="H145" s="52"/>
      <c r="I145" s="53"/>
      <c r="J145" s="54"/>
      <c r="K145" s="53"/>
      <c r="L145" s="54"/>
      <c r="M145" s="55" t="str">
        <f aca="false">IF(L145="","",L145-J145)</f>
        <v/>
      </c>
      <c r="N145" s="56" t="str">
        <f aca="true">IF(I145="","",IF(K145&lt;&gt;"","PAGO",IF(I145&lt;TODAY(),"VENCIDO",IF(I145=TODAY(),"VENCE HOJE","A VENCER"))))</f>
        <v/>
      </c>
      <c r="O145" s="57" t="str">
        <f aca="true">IF(OR(I145="",K145&lt;&gt;""),"",I145-TODAY())</f>
        <v/>
      </c>
      <c r="P145" s="51"/>
      <c r="Q145" s="51"/>
      <c r="R145" s="51"/>
      <c r="S145" s="50"/>
      <c r="T145" s="50"/>
      <c r="U145" s="52"/>
      <c r="V145" s="58" t="n">
        <f aca="false">IF(OR(B145="",I145="",F145="",F145=Cadastros!$E$4,F145=Cadastros!$E$9),999999,IF(COUNTIFS($B$5:$B$504,B145,$I$5:$I$504,"&gt;"&amp;I145)=0,YEAR(I145)*12+MONTH(I145),999999))</f>
        <v>999999</v>
      </c>
      <c r="W145" s="58" t="n">
        <f aca="false">IF(U145="",999999,YEAR(U145)*12+MONTH(U145))</f>
        <v>999999</v>
      </c>
      <c r="X145" s="58" t="n">
        <f aca="false">IF(F145=Cadastros!$E$6,3,IF(F145=Cadastros!$E$7,6,IF(F145=Cadastros!$E$8,12,1)))</f>
        <v>1</v>
      </c>
    </row>
    <row r="146" customFormat="false" ht="15" hidden="false" customHeight="false" outlineLevel="0" collapsed="false">
      <c r="A146" s="49" t="str">
        <f aca="false">IF(B146="","",ROW()-4)</f>
        <v/>
      </c>
      <c r="B146" s="50"/>
      <c r="C146" s="50"/>
      <c r="D146" s="50"/>
      <c r="E146" s="51"/>
      <c r="F146" s="51"/>
      <c r="G146" s="51"/>
      <c r="H146" s="52"/>
      <c r="I146" s="53"/>
      <c r="J146" s="54"/>
      <c r="K146" s="53"/>
      <c r="L146" s="54"/>
      <c r="M146" s="55" t="str">
        <f aca="false">IF(L146="","",L146-J146)</f>
        <v/>
      </c>
      <c r="N146" s="56" t="str">
        <f aca="true">IF(I146="","",IF(K146&lt;&gt;"","PAGO",IF(I146&lt;TODAY(),"VENCIDO",IF(I146=TODAY(),"VENCE HOJE","A VENCER"))))</f>
        <v/>
      </c>
      <c r="O146" s="57" t="str">
        <f aca="true">IF(OR(I146="",K146&lt;&gt;""),"",I146-TODAY())</f>
        <v/>
      </c>
      <c r="P146" s="51"/>
      <c r="Q146" s="51"/>
      <c r="R146" s="51"/>
      <c r="S146" s="50"/>
      <c r="T146" s="50"/>
      <c r="U146" s="52"/>
      <c r="V146" s="58" t="n">
        <f aca="false">IF(OR(B146="",I146="",F146="",F146=Cadastros!$E$4,F146=Cadastros!$E$9),999999,IF(COUNTIFS($B$5:$B$504,B146,$I$5:$I$504,"&gt;"&amp;I146)=0,YEAR(I146)*12+MONTH(I146),999999))</f>
        <v>999999</v>
      </c>
      <c r="W146" s="58" t="n">
        <f aca="false">IF(U146="",999999,YEAR(U146)*12+MONTH(U146))</f>
        <v>999999</v>
      </c>
      <c r="X146" s="58" t="n">
        <f aca="false">IF(F146=Cadastros!$E$6,3,IF(F146=Cadastros!$E$7,6,IF(F146=Cadastros!$E$8,12,1)))</f>
        <v>1</v>
      </c>
    </row>
    <row r="147" customFormat="false" ht="15" hidden="false" customHeight="false" outlineLevel="0" collapsed="false">
      <c r="A147" s="49" t="str">
        <f aca="false">IF(B147="","",ROW()-4)</f>
        <v/>
      </c>
      <c r="B147" s="50"/>
      <c r="C147" s="50"/>
      <c r="D147" s="50"/>
      <c r="E147" s="51"/>
      <c r="F147" s="51"/>
      <c r="G147" s="51"/>
      <c r="H147" s="52"/>
      <c r="I147" s="53"/>
      <c r="J147" s="54"/>
      <c r="K147" s="53"/>
      <c r="L147" s="54"/>
      <c r="M147" s="55" t="str">
        <f aca="false">IF(L147="","",L147-J147)</f>
        <v/>
      </c>
      <c r="N147" s="56" t="str">
        <f aca="true">IF(I147="","",IF(K147&lt;&gt;"","PAGO",IF(I147&lt;TODAY(),"VENCIDO",IF(I147=TODAY(),"VENCE HOJE","A VENCER"))))</f>
        <v/>
      </c>
      <c r="O147" s="57" t="str">
        <f aca="true">IF(OR(I147="",K147&lt;&gt;""),"",I147-TODAY())</f>
        <v/>
      </c>
      <c r="P147" s="51"/>
      <c r="Q147" s="51"/>
      <c r="R147" s="51"/>
      <c r="S147" s="50"/>
      <c r="T147" s="50"/>
      <c r="U147" s="52"/>
      <c r="V147" s="58" t="n">
        <f aca="false">IF(OR(B147="",I147="",F147="",F147=Cadastros!$E$4,F147=Cadastros!$E$9),999999,IF(COUNTIFS($B$5:$B$504,B147,$I$5:$I$504,"&gt;"&amp;I147)=0,YEAR(I147)*12+MONTH(I147),999999))</f>
        <v>999999</v>
      </c>
      <c r="W147" s="58" t="n">
        <f aca="false">IF(U147="",999999,YEAR(U147)*12+MONTH(U147))</f>
        <v>999999</v>
      </c>
      <c r="X147" s="58" t="n">
        <f aca="false">IF(F147=Cadastros!$E$6,3,IF(F147=Cadastros!$E$7,6,IF(F147=Cadastros!$E$8,12,1)))</f>
        <v>1</v>
      </c>
    </row>
    <row r="148" customFormat="false" ht="15" hidden="false" customHeight="false" outlineLevel="0" collapsed="false">
      <c r="A148" s="49" t="str">
        <f aca="false">IF(B148="","",ROW()-4)</f>
        <v/>
      </c>
      <c r="B148" s="50"/>
      <c r="C148" s="50"/>
      <c r="D148" s="50"/>
      <c r="E148" s="51"/>
      <c r="F148" s="51"/>
      <c r="G148" s="51"/>
      <c r="H148" s="52"/>
      <c r="I148" s="53"/>
      <c r="J148" s="54"/>
      <c r="K148" s="53"/>
      <c r="L148" s="54"/>
      <c r="M148" s="55" t="str">
        <f aca="false">IF(L148="","",L148-J148)</f>
        <v/>
      </c>
      <c r="N148" s="56" t="str">
        <f aca="true">IF(I148="","",IF(K148&lt;&gt;"","PAGO",IF(I148&lt;TODAY(),"VENCIDO",IF(I148=TODAY(),"VENCE HOJE","A VENCER"))))</f>
        <v/>
      </c>
      <c r="O148" s="57" t="str">
        <f aca="true">IF(OR(I148="",K148&lt;&gt;""),"",I148-TODAY())</f>
        <v/>
      </c>
      <c r="P148" s="51"/>
      <c r="Q148" s="51"/>
      <c r="R148" s="51"/>
      <c r="S148" s="50"/>
      <c r="T148" s="50"/>
      <c r="U148" s="52"/>
      <c r="V148" s="58" t="n">
        <f aca="false">IF(OR(B148="",I148="",F148="",F148=Cadastros!$E$4,F148=Cadastros!$E$9),999999,IF(COUNTIFS($B$5:$B$504,B148,$I$5:$I$504,"&gt;"&amp;I148)=0,YEAR(I148)*12+MONTH(I148),999999))</f>
        <v>999999</v>
      </c>
      <c r="W148" s="58" t="n">
        <f aca="false">IF(U148="",999999,YEAR(U148)*12+MONTH(U148))</f>
        <v>999999</v>
      </c>
      <c r="X148" s="58" t="n">
        <f aca="false">IF(F148=Cadastros!$E$6,3,IF(F148=Cadastros!$E$7,6,IF(F148=Cadastros!$E$8,12,1)))</f>
        <v>1</v>
      </c>
    </row>
    <row r="149" customFormat="false" ht="15" hidden="false" customHeight="false" outlineLevel="0" collapsed="false">
      <c r="A149" s="49" t="str">
        <f aca="false">IF(B149="","",ROW()-4)</f>
        <v/>
      </c>
      <c r="B149" s="50"/>
      <c r="C149" s="50"/>
      <c r="D149" s="50"/>
      <c r="E149" s="51"/>
      <c r="F149" s="51"/>
      <c r="G149" s="51"/>
      <c r="H149" s="52"/>
      <c r="I149" s="53"/>
      <c r="J149" s="54"/>
      <c r="K149" s="53"/>
      <c r="L149" s="54"/>
      <c r="M149" s="55" t="str">
        <f aca="false">IF(L149="","",L149-J149)</f>
        <v/>
      </c>
      <c r="N149" s="56" t="str">
        <f aca="true">IF(I149="","",IF(K149&lt;&gt;"","PAGO",IF(I149&lt;TODAY(),"VENCIDO",IF(I149=TODAY(),"VENCE HOJE","A VENCER"))))</f>
        <v/>
      </c>
      <c r="O149" s="57" t="str">
        <f aca="true">IF(OR(I149="",K149&lt;&gt;""),"",I149-TODAY())</f>
        <v/>
      </c>
      <c r="P149" s="51"/>
      <c r="Q149" s="51"/>
      <c r="R149" s="51"/>
      <c r="S149" s="50"/>
      <c r="T149" s="50"/>
      <c r="U149" s="52"/>
      <c r="V149" s="58" t="n">
        <f aca="false">IF(OR(B149="",I149="",F149="",F149=Cadastros!$E$4,F149=Cadastros!$E$9),999999,IF(COUNTIFS($B$5:$B$504,B149,$I$5:$I$504,"&gt;"&amp;I149)=0,YEAR(I149)*12+MONTH(I149),999999))</f>
        <v>999999</v>
      </c>
      <c r="W149" s="58" t="n">
        <f aca="false">IF(U149="",999999,YEAR(U149)*12+MONTH(U149))</f>
        <v>999999</v>
      </c>
      <c r="X149" s="58" t="n">
        <f aca="false">IF(F149=Cadastros!$E$6,3,IF(F149=Cadastros!$E$7,6,IF(F149=Cadastros!$E$8,12,1)))</f>
        <v>1</v>
      </c>
    </row>
    <row r="150" customFormat="false" ht="15" hidden="false" customHeight="false" outlineLevel="0" collapsed="false">
      <c r="A150" s="49" t="str">
        <f aca="false">IF(B150="","",ROW()-4)</f>
        <v/>
      </c>
      <c r="B150" s="50"/>
      <c r="C150" s="50"/>
      <c r="D150" s="50"/>
      <c r="E150" s="51"/>
      <c r="F150" s="51"/>
      <c r="G150" s="51"/>
      <c r="H150" s="52"/>
      <c r="I150" s="53"/>
      <c r="J150" s="54"/>
      <c r="K150" s="53"/>
      <c r="L150" s="54"/>
      <c r="M150" s="55" t="str">
        <f aca="false">IF(L150="","",L150-J150)</f>
        <v/>
      </c>
      <c r="N150" s="56" t="str">
        <f aca="true">IF(I150="","",IF(K150&lt;&gt;"","PAGO",IF(I150&lt;TODAY(),"VENCIDO",IF(I150=TODAY(),"VENCE HOJE","A VENCER"))))</f>
        <v/>
      </c>
      <c r="O150" s="57" t="str">
        <f aca="true">IF(OR(I150="",K150&lt;&gt;""),"",I150-TODAY())</f>
        <v/>
      </c>
      <c r="P150" s="51"/>
      <c r="Q150" s="51"/>
      <c r="R150" s="51"/>
      <c r="S150" s="50"/>
      <c r="T150" s="50"/>
      <c r="U150" s="52"/>
      <c r="V150" s="58" t="n">
        <f aca="false">IF(OR(B150="",I150="",F150="",F150=Cadastros!$E$4,F150=Cadastros!$E$9),999999,IF(COUNTIFS($B$5:$B$504,B150,$I$5:$I$504,"&gt;"&amp;I150)=0,YEAR(I150)*12+MONTH(I150),999999))</f>
        <v>999999</v>
      </c>
      <c r="W150" s="58" t="n">
        <f aca="false">IF(U150="",999999,YEAR(U150)*12+MONTH(U150))</f>
        <v>999999</v>
      </c>
      <c r="X150" s="58" t="n">
        <f aca="false">IF(F150=Cadastros!$E$6,3,IF(F150=Cadastros!$E$7,6,IF(F150=Cadastros!$E$8,12,1)))</f>
        <v>1</v>
      </c>
    </row>
    <row r="151" customFormat="false" ht="15" hidden="false" customHeight="false" outlineLevel="0" collapsed="false">
      <c r="A151" s="49" t="str">
        <f aca="false">IF(B151="","",ROW()-4)</f>
        <v/>
      </c>
      <c r="B151" s="50"/>
      <c r="C151" s="50"/>
      <c r="D151" s="50"/>
      <c r="E151" s="51"/>
      <c r="F151" s="51"/>
      <c r="G151" s="51"/>
      <c r="H151" s="52"/>
      <c r="I151" s="53"/>
      <c r="J151" s="54"/>
      <c r="K151" s="53"/>
      <c r="L151" s="54"/>
      <c r="M151" s="55" t="str">
        <f aca="false">IF(L151="","",L151-J151)</f>
        <v/>
      </c>
      <c r="N151" s="56" t="str">
        <f aca="true">IF(I151="","",IF(K151&lt;&gt;"","PAGO",IF(I151&lt;TODAY(),"VENCIDO",IF(I151=TODAY(),"VENCE HOJE","A VENCER"))))</f>
        <v/>
      </c>
      <c r="O151" s="57" t="str">
        <f aca="true">IF(OR(I151="",K151&lt;&gt;""),"",I151-TODAY())</f>
        <v/>
      </c>
      <c r="P151" s="51"/>
      <c r="Q151" s="51"/>
      <c r="R151" s="51"/>
      <c r="S151" s="50"/>
      <c r="T151" s="50"/>
      <c r="U151" s="52"/>
      <c r="V151" s="58" t="n">
        <f aca="false">IF(OR(B151="",I151="",F151="",F151=Cadastros!$E$4,F151=Cadastros!$E$9),999999,IF(COUNTIFS($B$5:$B$504,B151,$I$5:$I$504,"&gt;"&amp;I151)=0,YEAR(I151)*12+MONTH(I151),999999))</f>
        <v>999999</v>
      </c>
      <c r="W151" s="58" t="n">
        <f aca="false">IF(U151="",999999,YEAR(U151)*12+MONTH(U151))</f>
        <v>999999</v>
      </c>
      <c r="X151" s="58" t="n">
        <f aca="false">IF(F151=Cadastros!$E$6,3,IF(F151=Cadastros!$E$7,6,IF(F151=Cadastros!$E$8,12,1)))</f>
        <v>1</v>
      </c>
    </row>
    <row r="152" customFormat="false" ht="15" hidden="false" customHeight="false" outlineLevel="0" collapsed="false">
      <c r="A152" s="49" t="str">
        <f aca="false">IF(B152="","",ROW()-4)</f>
        <v/>
      </c>
      <c r="B152" s="50"/>
      <c r="C152" s="50"/>
      <c r="D152" s="50"/>
      <c r="E152" s="51"/>
      <c r="F152" s="51"/>
      <c r="G152" s="51"/>
      <c r="H152" s="52"/>
      <c r="I152" s="53"/>
      <c r="J152" s="54"/>
      <c r="K152" s="53"/>
      <c r="L152" s="54"/>
      <c r="M152" s="55" t="str">
        <f aca="false">IF(L152="","",L152-J152)</f>
        <v/>
      </c>
      <c r="N152" s="56" t="str">
        <f aca="true">IF(I152="","",IF(K152&lt;&gt;"","PAGO",IF(I152&lt;TODAY(),"VENCIDO",IF(I152=TODAY(),"VENCE HOJE","A VENCER"))))</f>
        <v/>
      </c>
      <c r="O152" s="57" t="str">
        <f aca="true">IF(OR(I152="",K152&lt;&gt;""),"",I152-TODAY())</f>
        <v/>
      </c>
      <c r="P152" s="51"/>
      <c r="Q152" s="51"/>
      <c r="R152" s="51"/>
      <c r="S152" s="50"/>
      <c r="T152" s="50"/>
      <c r="U152" s="52"/>
      <c r="V152" s="58" t="n">
        <f aca="false">IF(OR(B152="",I152="",F152="",F152=Cadastros!$E$4,F152=Cadastros!$E$9),999999,IF(COUNTIFS($B$5:$B$504,B152,$I$5:$I$504,"&gt;"&amp;I152)=0,YEAR(I152)*12+MONTH(I152),999999))</f>
        <v>999999</v>
      </c>
      <c r="W152" s="58" t="n">
        <f aca="false">IF(U152="",999999,YEAR(U152)*12+MONTH(U152))</f>
        <v>999999</v>
      </c>
      <c r="X152" s="58" t="n">
        <f aca="false">IF(F152=Cadastros!$E$6,3,IF(F152=Cadastros!$E$7,6,IF(F152=Cadastros!$E$8,12,1)))</f>
        <v>1</v>
      </c>
    </row>
    <row r="153" customFormat="false" ht="15" hidden="false" customHeight="false" outlineLevel="0" collapsed="false">
      <c r="A153" s="49" t="str">
        <f aca="false">IF(B153="","",ROW()-4)</f>
        <v/>
      </c>
      <c r="B153" s="50"/>
      <c r="C153" s="50"/>
      <c r="D153" s="50"/>
      <c r="E153" s="51"/>
      <c r="F153" s="51"/>
      <c r="G153" s="51"/>
      <c r="H153" s="52"/>
      <c r="I153" s="53"/>
      <c r="J153" s="54"/>
      <c r="K153" s="53"/>
      <c r="L153" s="54"/>
      <c r="M153" s="55" t="str">
        <f aca="false">IF(L153="","",L153-J153)</f>
        <v/>
      </c>
      <c r="N153" s="56" t="str">
        <f aca="true">IF(I153="","",IF(K153&lt;&gt;"","PAGO",IF(I153&lt;TODAY(),"VENCIDO",IF(I153=TODAY(),"VENCE HOJE","A VENCER"))))</f>
        <v/>
      </c>
      <c r="O153" s="57" t="str">
        <f aca="true">IF(OR(I153="",K153&lt;&gt;""),"",I153-TODAY())</f>
        <v/>
      </c>
      <c r="P153" s="51"/>
      <c r="Q153" s="51"/>
      <c r="R153" s="51"/>
      <c r="S153" s="50"/>
      <c r="T153" s="50"/>
      <c r="U153" s="52"/>
      <c r="V153" s="58" t="n">
        <f aca="false">IF(OR(B153="",I153="",F153="",F153=Cadastros!$E$4,F153=Cadastros!$E$9),999999,IF(COUNTIFS($B$5:$B$504,B153,$I$5:$I$504,"&gt;"&amp;I153)=0,YEAR(I153)*12+MONTH(I153),999999))</f>
        <v>999999</v>
      </c>
      <c r="W153" s="58" t="n">
        <f aca="false">IF(U153="",999999,YEAR(U153)*12+MONTH(U153))</f>
        <v>999999</v>
      </c>
      <c r="X153" s="58" t="n">
        <f aca="false">IF(F153=Cadastros!$E$6,3,IF(F153=Cadastros!$E$7,6,IF(F153=Cadastros!$E$8,12,1)))</f>
        <v>1</v>
      </c>
    </row>
    <row r="154" customFormat="false" ht="15" hidden="false" customHeight="false" outlineLevel="0" collapsed="false">
      <c r="A154" s="49" t="str">
        <f aca="false">IF(B154="","",ROW()-4)</f>
        <v/>
      </c>
      <c r="B154" s="50"/>
      <c r="C154" s="50"/>
      <c r="D154" s="50"/>
      <c r="E154" s="51"/>
      <c r="F154" s="51"/>
      <c r="G154" s="51"/>
      <c r="H154" s="52"/>
      <c r="I154" s="53"/>
      <c r="J154" s="54"/>
      <c r="K154" s="53"/>
      <c r="L154" s="54"/>
      <c r="M154" s="55" t="str">
        <f aca="false">IF(L154="","",L154-J154)</f>
        <v/>
      </c>
      <c r="N154" s="56" t="str">
        <f aca="true">IF(I154="","",IF(K154&lt;&gt;"","PAGO",IF(I154&lt;TODAY(),"VENCIDO",IF(I154=TODAY(),"VENCE HOJE","A VENCER"))))</f>
        <v/>
      </c>
      <c r="O154" s="57" t="str">
        <f aca="true">IF(OR(I154="",K154&lt;&gt;""),"",I154-TODAY())</f>
        <v/>
      </c>
      <c r="P154" s="51"/>
      <c r="Q154" s="51"/>
      <c r="R154" s="51"/>
      <c r="S154" s="50"/>
      <c r="T154" s="50"/>
      <c r="U154" s="52"/>
      <c r="V154" s="58" t="n">
        <f aca="false">IF(OR(B154="",I154="",F154="",F154=Cadastros!$E$4,F154=Cadastros!$E$9),999999,IF(COUNTIFS($B$5:$B$504,B154,$I$5:$I$504,"&gt;"&amp;I154)=0,YEAR(I154)*12+MONTH(I154),999999))</f>
        <v>999999</v>
      </c>
      <c r="W154" s="58" t="n">
        <f aca="false">IF(U154="",999999,YEAR(U154)*12+MONTH(U154))</f>
        <v>999999</v>
      </c>
      <c r="X154" s="58" t="n">
        <f aca="false">IF(F154=Cadastros!$E$6,3,IF(F154=Cadastros!$E$7,6,IF(F154=Cadastros!$E$8,12,1)))</f>
        <v>1</v>
      </c>
    </row>
    <row r="155" customFormat="false" ht="15" hidden="false" customHeight="false" outlineLevel="0" collapsed="false">
      <c r="A155" s="49" t="str">
        <f aca="false">IF(B155="","",ROW()-4)</f>
        <v/>
      </c>
      <c r="B155" s="50"/>
      <c r="C155" s="50"/>
      <c r="D155" s="50"/>
      <c r="E155" s="51"/>
      <c r="F155" s="51"/>
      <c r="G155" s="51"/>
      <c r="H155" s="52"/>
      <c r="I155" s="53"/>
      <c r="J155" s="54"/>
      <c r="K155" s="53"/>
      <c r="L155" s="54"/>
      <c r="M155" s="55" t="str">
        <f aca="false">IF(L155="","",L155-J155)</f>
        <v/>
      </c>
      <c r="N155" s="56" t="str">
        <f aca="true">IF(I155="","",IF(K155&lt;&gt;"","PAGO",IF(I155&lt;TODAY(),"VENCIDO",IF(I155=TODAY(),"VENCE HOJE","A VENCER"))))</f>
        <v/>
      </c>
      <c r="O155" s="57" t="str">
        <f aca="true">IF(OR(I155="",K155&lt;&gt;""),"",I155-TODAY())</f>
        <v/>
      </c>
      <c r="P155" s="51"/>
      <c r="Q155" s="51"/>
      <c r="R155" s="51"/>
      <c r="S155" s="50"/>
      <c r="T155" s="50"/>
      <c r="U155" s="52"/>
      <c r="V155" s="58" t="n">
        <f aca="false">IF(OR(B155="",I155="",F155="",F155=Cadastros!$E$4,F155=Cadastros!$E$9),999999,IF(COUNTIFS($B$5:$B$504,B155,$I$5:$I$504,"&gt;"&amp;I155)=0,YEAR(I155)*12+MONTH(I155),999999))</f>
        <v>999999</v>
      </c>
      <c r="W155" s="58" t="n">
        <f aca="false">IF(U155="",999999,YEAR(U155)*12+MONTH(U155))</f>
        <v>999999</v>
      </c>
      <c r="X155" s="58" t="n">
        <f aca="false">IF(F155=Cadastros!$E$6,3,IF(F155=Cadastros!$E$7,6,IF(F155=Cadastros!$E$8,12,1)))</f>
        <v>1</v>
      </c>
    </row>
    <row r="156" customFormat="false" ht="15" hidden="false" customHeight="false" outlineLevel="0" collapsed="false">
      <c r="A156" s="49" t="str">
        <f aca="false">IF(B156="","",ROW()-4)</f>
        <v/>
      </c>
      <c r="B156" s="50"/>
      <c r="C156" s="50"/>
      <c r="D156" s="50"/>
      <c r="E156" s="51"/>
      <c r="F156" s="51"/>
      <c r="G156" s="51"/>
      <c r="H156" s="52"/>
      <c r="I156" s="53"/>
      <c r="J156" s="54"/>
      <c r="K156" s="53"/>
      <c r="L156" s="54"/>
      <c r="M156" s="55" t="str">
        <f aca="false">IF(L156="","",L156-J156)</f>
        <v/>
      </c>
      <c r="N156" s="56" t="str">
        <f aca="true">IF(I156="","",IF(K156&lt;&gt;"","PAGO",IF(I156&lt;TODAY(),"VENCIDO",IF(I156=TODAY(),"VENCE HOJE","A VENCER"))))</f>
        <v/>
      </c>
      <c r="O156" s="57" t="str">
        <f aca="true">IF(OR(I156="",K156&lt;&gt;""),"",I156-TODAY())</f>
        <v/>
      </c>
      <c r="P156" s="51"/>
      <c r="Q156" s="51"/>
      <c r="R156" s="51"/>
      <c r="S156" s="50"/>
      <c r="T156" s="50"/>
      <c r="U156" s="52"/>
      <c r="V156" s="58" t="n">
        <f aca="false">IF(OR(B156="",I156="",F156="",F156=Cadastros!$E$4,F156=Cadastros!$E$9),999999,IF(COUNTIFS($B$5:$B$504,B156,$I$5:$I$504,"&gt;"&amp;I156)=0,YEAR(I156)*12+MONTH(I156),999999))</f>
        <v>999999</v>
      </c>
      <c r="W156" s="58" t="n">
        <f aca="false">IF(U156="",999999,YEAR(U156)*12+MONTH(U156))</f>
        <v>999999</v>
      </c>
      <c r="X156" s="58" t="n">
        <f aca="false">IF(F156=Cadastros!$E$6,3,IF(F156=Cadastros!$E$7,6,IF(F156=Cadastros!$E$8,12,1)))</f>
        <v>1</v>
      </c>
    </row>
    <row r="157" customFormat="false" ht="15" hidden="false" customHeight="false" outlineLevel="0" collapsed="false">
      <c r="A157" s="49" t="str">
        <f aca="false">IF(B157="","",ROW()-4)</f>
        <v/>
      </c>
      <c r="B157" s="50"/>
      <c r="C157" s="50"/>
      <c r="D157" s="50"/>
      <c r="E157" s="51"/>
      <c r="F157" s="51"/>
      <c r="G157" s="51"/>
      <c r="H157" s="52"/>
      <c r="I157" s="53"/>
      <c r="J157" s="54"/>
      <c r="K157" s="53"/>
      <c r="L157" s="54"/>
      <c r="M157" s="55" t="str">
        <f aca="false">IF(L157="","",L157-J157)</f>
        <v/>
      </c>
      <c r="N157" s="56" t="str">
        <f aca="true">IF(I157="","",IF(K157&lt;&gt;"","PAGO",IF(I157&lt;TODAY(),"VENCIDO",IF(I157=TODAY(),"VENCE HOJE","A VENCER"))))</f>
        <v/>
      </c>
      <c r="O157" s="57" t="str">
        <f aca="true">IF(OR(I157="",K157&lt;&gt;""),"",I157-TODAY())</f>
        <v/>
      </c>
      <c r="P157" s="51"/>
      <c r="Q157" s="51"/>
      <c r="R157" s="51"/>
      <c r="S157" s="50"/>
      <c r="T157" s="50"/>
      <c r="U157" s="52"/>
      <c r="V157" s="58" t="n">
        <f aca="false">IF(OR(B157="",I157="",F157="",F157=Cadastros!$E$4,F157=Cadastros!$E$9),999999,IF(COUNTIFS($B$5:$B$504,B157,$I$5:$I$504,"&gt;"&amp;I157)=0,YEAR(I157)*12+MONTH(I157),999999))</f>
        <v>999999</v>
      </c>
      <c r="W157" s="58" t="n">
        <f aca="false">IF(U157="",999999,YEAR(U157)*12+MONTH(U157))</f>
        <v>999999</v>
      </c>
      <c r="X157" s="58" t="n">
        <f aca="false">IF(F157=Cadastros!$E$6,3,IF(F157=Cadastros!$E$7,6,IF(F157=Cadastros!$E$8,12,1)))</f>
        <v>1</v>
      </c>
    </row>
    <row r="158" customFormat="false" ht="15" hidden="false" customHeight="false" outlineLevel="0" collapsed="false">
      <c r="A158" s="49" t="str">
        <f aca="false">IF(B158="","",ROW()-4)</f>
        <v/>
      </c>
      <c r="B158" s="50"/>
      <c r="C158" s="50"/>
      <c r="D158" s="50"/>
      <c r="E158" s="51"/>
      <c r="F158" s="51"/>
      <c r="G158" s="51"/>
      <c r="H158" s="52"/>
      <c r="I158" s="53"/>
      <c r="J158" s="54"/>
      <c r="K158" s="53"/>
      <c r="L158" s="54"/>
      <c r="M158" s="55" t="str">
        <f aca="false">IF(L158="","",L158-J158)</f>
        <v/>
      </c>
      <c r="N158" s="56" t="str">
        <f aca="true">IF(I158="","",IF(K158&lt;&gt;"","PAGO",IF(I158&lt;TODAY(),"VENCIDO",IF(I158=TODAY(),"VENCE HOJE","A VENCER"))))</f>
        <v/>
      </c>
      <c r="O158" s="57" t="str">
        <f aca="true">IF(OR(I158="",K158&lt;&gt;""),"",I158-TODAY())</f>
        <v/>
      </c>
      <c r="P158" s="51"/>
      <c r="Q158" s="51"/>
      <c r="R158" s="51"/>
      <c r="S158" s="50"/>
      <c r="T158" s="50"/>
      <c r="U158" s="52"/>
      <c r="V158" s="58" t="n">
        <f aca="false">IF(OR(B158="",I158="",F158="",F158=Cadastros!$E$4,F158=Cadastros!$E$9),999999,IF(COUNTIFS($B$5:$B$504,B158,$I$5:$I$504,"&gt;"&amp;I158)=0,YEAR(I158)*12+MONTH(I158),999999))</f>
        <v>999999</v>
      </c>
      <c r="W158" s="58" t="n">
        <f aca="false">IF(U158="",999999,YEAR(U158)*12+MONTH(U158))</f>
        <v>999999</v>
      </c>
      <c r="X158" s="58" t="n">
        <f aca="false">IF(F158=Cadastros!$E$6,3,IF(F158=Cadastros!$E$7,6,IF(F158=Cadastros!$E$8,12,1)))</f>
        <v>1</v>
      </c>
    </row>
    <row r="159" customFormat="false" ht="15" hidden="false" customHeight="false" outlineLevel="0" collapsed="false">
      <c r="A159" s="49" t="str">
        <f aca="false">IF(B159="","",ROW()-4)</f>
        <v/>
      </c>
      <c r="B159" s="50"/>
      <c r="C159" s="50"/>
      <c r="D159" s="50"/>
      <c r="E159" s="51"/>
      <c r="F159" s="51"/>
      <c r="G159" s="51"/>
      <c r="H159" s="52"/>
      <c r="I159" s="53"/>
      <c r="J159" s="54"/>
      <c r="K159" s="53"/>
      <c r="L159" s="54"/>
      <c r="M159" s="55" t="str">
        <f aca="false">IF(L159="","",L159-J159)</f>
        <v/>
      </c>
      <c r="N159" s="56" t="str">
        <f aca="true">IF(I159="","",IF(K159&lt;&gt;"","PAGO",IF(I159&lt;TODAY(),"VENCIDO",IF(I159=TODAY(),"VENCE HOJE","A VENCER"))))</f>
        <v/>
      </c>
      <c r="O159" s="57" t="str">
        <f aca="true">IF(OR(I159="",K159&lt;&gt;""),"",I159-TODAY())</f>
        <v/>
      </c>
      <c r="P159" s="51"/>
      <c r="Q159" s="51"/>
      <c r="R159" s="51"/>
      <c r="S159" s="50"/>
      <c r="T159" s="50"/>
      <c r="U159" s="52"/>
      <c r="V159" s="58" t="n">
        <f aca="false">IF(OR(B159="",I159="",F159="",F159=Cadastros!$E$4,F159=Cadastros!$E$9),999999,IF(COUNTIFS($B$5:$B$504,B159,$I$5:$I$504,"&gt;"&amp;I159)=0,YEAR(I159)*12+MONTH(I159),999999))</f>
        <v>999999</v>
      </c>
      <c r="W159" s="58" t="n">
        <f aca="false">IF(U159="",999999,YEAR(U159)*12+MONTH(U159))</f>
        <v>999999</v>
      </c>
      <c r="X159" s="58" t="n">
        <f aca="false">IF(F159=Cadastros!$E$6,3,IF(F159=Cadastros!$E$7,6,IF(F159=Cadastros!$E$8,12,1)))</f>
        <v>1</v>
      </c>
    </row>
    <row r="160" customFormat="false" ht="15" hidden="false" customHeight="false" outlineLevel="0" collapsed="false">
      <c r="A160" s="49" t="str">
        <f aca="false">IF(B160="","",ROW()-4)</f>
        <v/>
      </c>
      <c r="B160" s="50"/>
      <c r="C160" s="50"/>
      <c r="D160" s="50"/>
      <c r="E160" s="51"/>
      <c r="F160" s="51"/>
      <c r="G160" s="51"/>
      <c r="H160" s="52"/>
      <c r="I160" s="53"/>
      <c r="J160" s="54"/>
      <c r="K160" s="53"/>
      <c r="L160" s="54"/>
      <c r="M160" s="55" t="str">
        <f aca="false">IF(L160="","",L160-J160)</f>
        <v/>
      </c>
      <c r="N160" s="56" t="str">
        <f aca="true">IF(I160="","",IF(K160&lt;&gt;"","PAGO",IF(I160&lt;TODAY(),"VENCIDO",IF(I160=TODAY(),"VENCE HOJE","A VENCER"))))</f>
        <v/>
      </c>
      <c r="O160" s="57" t="str">
        <f aca="true">IF(OR(I160="",K160&lt;&gt;""),"",I160-TODAY())</f>
        <v/>
      </c>
      <c r="P160" s="51"/>
      <c r="Q160" s="51"/>
      <c r="R160" s="51"/>
      <c r="S160" s="50"/>
      <c r="T160" s="50"/>
      <c r="U160" s="52"/>
      <c r="V160" s="58" t="n">
        <f aca="false">IF(OR(B160="",I160="",F160="",F160=Cadastros!$E$4,F160=Cadastros!$E$9),999999,IF(COUNTIFS($B$5:$B$504,B160,$I$5:$I$504,"&gt;"&amp;I160)=0,YEAR(I160)*12+MONTH(I160),999999))</f>
        <v>999999</v>
      </c>
      <c r="W160" s="58" t="n">
        <f aca="false">IF(U160="",999999,YEAR(U160)*12+MONTH(U160))</f>
        <v>999999</v>
      </c>
      <c r="X160" s="58" t="n">
        <f aca="false">IF(F160=Cadastros!$E$6,3,IF(F160=Cadastros!$E$7,6,IF(F160=Cadastros!$E$8,12,1)))</f>
        <v>1</v>
      </c>
    </row>
    <row r="161" customFormat="false" ht="15" hidden="false" customHeight="false" outlineLevel="0" collapsed="false">
      <c r="A161" s="49" t="str">
        <f aca="false">IF(B161="","",ROW()-4)</f>
        <v/>
      </c>
      <c r="B161" s="50"/>
      <c r="C161" s="50"/>
      <c r="D161" s="50"/>
      <c r="E161" s="51"/>
      <c r="F161" s="51"/>
      <c r="G161" s="51"/>
      <c r="H161" s="52"/>
      <c r="I161" s="53"/>
      <c r="J161" s="54"/>
      <c r="K161" s="53"/>
      <c r="L161" s="54"/>
      <c r="M161" s="55" t="str">
        <f aca="false">IF(L161="","",L161-J161)</f>
        <v/>
      </c>
      <c r="N161" s="56" t="str">
        <f aca="true">IF(I161="","",IF(K161&lt;&gt;"","PAGO",IF(I161&lt;TODAY(),"VENCIDO",IF(I161=TODAY(),"VENCE HOJE","A VENCER"))))</f>
        <v/>
      </c>
      <c r="O161" s="57" t="str">
        <f aca="true">IF(OR(I161="",K161&lt;&gt;""),"",I161-TODAY())</f>
        <v/>
      </c>
      <c r="P161" s="51"/>
      <c r="Q161" s="51"/>
      <c r="R161" s="51"/>
      <c r="S161" s="50"/>
      <c r="T161" s="50"/>
      <c r="U161" s="52"/>
      <c r="V161" s="58" t="n">
        <f aca="false">IF(OR(B161="",I161="",F161="",F161=Cadastros!$E$4,F161=Cadastros!$E$9),999999,IF(COUNTIFS($B$5:$B$504,B161,$I$5:$I$504,"&gt;"&amp;I161)=0,YEAR(I161)*12+MONTH(I161),999999))</f>
        <v>999999</v>
      </c>
      <c r="W161" s="58" t="n">
        <f aca="false">IF(U161="",999999,YEAR(U161)*12+MONTH(U161))</f>
        <v>999999</v>
      </c>
      <c r="X161" s="58" t="n">
        <f aca="false">IF(F161=Cadastros!$E$6,3,IF(F161=Cadastros!$E$7,6,IF(F161=Cadastros!$E$8,12,1)))</f>
        <v>1</v>
      </c>
    </row>
    <row r="162" customFormat="false" ht="15" hidden="false" customHeight="false" outlineLevel="0" collapsed="false">
      <c r="A162" s="49" t="str">
        <f aca="false">IF(B162="","",ROW()-4)</f>
        <v/>
      </c>
      <c r="B162" s="50"/>
      <c r="C162" s="50"/>
      <c r="D162" s="50"/>
      <c r="E162" s="51"/>
      <c r="F162" s="51"/>
      <c r="G162" s="51"/>
      <c r="H162" s="52"/>
      <c r="I162" s="53"/>
      <c r="J162" s="54"/>
      <c r="K162" s="53"/>
      <c r="L162" s="54"/>
      <c r="M162" s="55" t="str">
        <f aca="false">IF(L162="","",L162-J162)</f>
        <v/>
      </c>
      <c r="N162" s="56" t="str">
        <f aca="true">IF(I162="","",IF(K162&lt;&gt;"","PAGO",IF(I162&lt;TODAY(),"VENCIDO",IF(I162=TODAY(),"VENCE HOJE","A VENCER"))))</f>
        <v/>
      </c>
      <c r="O162" s="57" t="str">
        <f aca="true">IF(OR(I162="",K162&lt;&gt;""),"",I162-TODAY())</f>
        <v/>
      </c>
      <c r="P162" s="51"/>
      <c r="Q162" s="51"/>
      <c r="R162" s="51"/>
      <c r="S162" s="50"/>
      <c r="T162" s="50"/>
      <c r="U162" s="52"/>
      <c r="V162" s="58" t="n">
        <f aca="false">IF(OR(B162="",I162="",F162="",F162=Cadastros!$E$4,F162=Cadastros!$E$9),999999,IF(COUNTIFS($B$5:$B$504,B162,$I$5:$I$504,"&gt;"&amp;I162)=0,YEAR(I162)*12+MONTH(I162),999999))</f>
        <v>999999</v>
      </c>
      <c r="W162" s="58" t="n">
        <f aca="false">IF(U162="",999999,YEAR(U162)*12+MONTH(U162))</f>
        <v>999999</v>
      </c>
      <c r="X162" s="58" t="n">
        <f aca="false">IF(F162=Cadastros!$E$6,3,IF(F162=Cadastros!$E$7,6,IF(F162=Cadastros!$E$8,12,1)))</f>
        <v>1</v>
      </c>
    </row>
    <row r="163" customFormat="false" ht="15" hidden="false" customHeight="false" outlineLevel="0" collapsed="false">
      <c r="A163" s="49" t="str">
        <f aca="false">IF(B163="","",ROW()-4)</f>
        <v/>
      </c>
      <c r="B163" s="50"/>
      <c r="C163" s="50"/>
      <c r="D163" s="50"/>
      <c r="E163" s="51"/>
      <c r="F163" s="51"/>
      <c r="G163" s="51"/>
      <c r="H163" s="52"/>
      <c r="I163" s="53"/>
      <c r="J163" s="54"/>
      <c r="K163" s="53"/>
      <c r="L163" s="54"/>
      <c r="M163" s="55" t="str">
        <f aca="false">IF(L163="","",L163-J163)</f>
        <v/>
      </c>
      <c r="N163" s="56" t="str">
        <f aca="true">IF(I163="","",IF(K163&lt;&gt;"","PAGO",IF(I163&lt;TODAY(),"VENCIDO",IF(I163=TODAY(),"VENCE HOJE","A VENCER"))))</f>
        <v/>
      </c>
      <c r="O163" s="57" t="str">
        <f aca="true">IF(OR(I163="",K163&lt;&gt;""),"",I163-TODAY())</f>
        <v/>
      </c>
      <c r="P163" s="51"/>
      <c r="Q163" s="51"/>
      <c r="R163" s="51"/>
      <c r="S163" s="50"/>
      <c r="T163" s="50"/>
      <c r="U163" s="52"/>
      <c r="V163" s="58" t="n">
        <f aca="false">IF(OR(B163="",I163="",F163="",F163=Cadastros!$E$4,F163=Cadastros!$E$9),999999,IF(COUNTIFS($B$5:$B$504,B163,$I$5:$I$504,"&gt;"&amp;I163)=0,YEAR(I163)*12+MONTH(I163),999999))</f>
        <v>999999</v>
      </c>
      <c r="W163" s="58" t="n">
        <f aca="false">IF(U163="",999999,YEAR(U163)*12+MONTH(U163))</f>
        <v>999999</v>
      </c>
      <c r="X163" s="58" t="n">
        <f aca="false">IF(F163=Cadastros!$E$6,3,IF(F163=Cadastros!$E$7,6,IF(F163=Cadastros!$E$8,12,1)))</f>
        <v>1</v>
      </c>
    </row>
    <row r="164" customFormat="false" ht="15" hidden="false" customHeight="false" outlineLevel="0" collapsed="false">
      <c r="A164" s="49" t="str">
        <f aca="false">IF(B164="","",ROW()-4)</f>
        <v/>
      </c>
      <c r="B164" s="50"/>
      <c r="C164" s="50"/>
      <c r="D164" s="50"/>
      <c r="E164" s="51"/>
      <c r="F164" s="51"/>
      <c r="G164" s="51"/>
      <c r="H164" s="52"/>
      <c r="I164" s="53"/>
      <c r="J164" s="54"/>
      <c r="K164" s="53"/>
      <c r="L164" s="54"/>
      <c r="M164" s="55" t="str">
        <f aca="false">IF(L164="","",L164-J164)</f>
        <v/>
      </c>
      <c r="N164" s="56" t="str">
        <f aca="true">IF(I164="","",IF(K164&lt;&gt;"","PAGO",IF(I164&lt;TODAY(),"VENCIDO",IF(I164=TODAY(),"VENCE HOJE","A VENCER"))))</f>
        <v/>
      </c>
      <c r="O164" s="57" t="str">
        <f aca="true">IF(OR(I164="",K164&lt;&gt;""),"",I164-TODAY())</f>
        <v/>
      </c>
      <c r="P164" s="51"/>
      <c r="Q164" s="51"/>
      <c r="R164" s="51"/>
      <c r="S164" s="50"/>
      <c r="T164" s="50"/>
      <c r="U164" s="52"/>
      <c r="V164" s="58" t="n">
        <f aca="false">IF(OR(B164="",I164="",F164="",F164=Cadastros!$E$4,F164=Cadastros!$E$9),999999,IF(COUNTIFS($B$5:$B$504,B164,$I$5:$I$504,"&gt;"&amp;I164)=0,YEAR(I164)*12+MONTH(I164),999999))</f>
        <v>999999</v>
      </c>
      <c r="W164" s="58" t="n">
        <f aca="false">IF(U164="",999999,YEAR(U164)*12+MONTH(U164))</f>
        <v>999999</v>
      </c>
      <c r="X164" s="58" t="n">
        <f aca="false">IF(F164=Cadastros!$E$6,3,IF(F164=Cadastros!$E$7,6,IF(F164=Cadastros!$E$8,12,1)))</f>
        <v>1</v>
      </c>
    </row>
    <row r="165" customFormat="false" ht="15" hidden="false" customHeight="false" outlineLevel="0" collapsed="false">
      <c r="A165" s="49" t="str">
        <f aca="false">IF(B165="","",ROW()-4)</f>
        <v/>
      </c>
      <c r="B165" s="50"/>
      <c r="C165" s="50"/>
      <c r="D165" s="50"/>
      <c r="E165" s="51"/>
      <c r="F165" s="51"/>
      <c r="G165" s="51"/>
      <c r="H165" s="52"/>
      <c r="I165" s="53"/>
      <c r="J165" s="54"/>
      <c r="K165" s="53"/>
      <c r="L165" s="54"/>
      <c r="M165" s="55" t="str">
        <f aca="false">IF(L165="","",L165-J165)</f>
        <v/>
      </c>
      <c r="N165" s="56" t="str">
        <f aca="true">IF(I165="","",IF(K165&lt;&gt;"","PAGO",IF(I165&lt;TODAY(),"VENCIDO",IF(I165=TODAY(),"VENCE HOJE","A VENCER"))))</f>
        <v/>
      </c>
      <c r="O165" s="57" t="str">
        <f aca="true">IF(OR(I165="",K165&lt;&gt;""),"",I165-TODAY())</f>
        <v/>
      </c>
      <c r="P165" s="51"/>
      <c r="Q165" s="51"/>
      <c r="R165" s="51"/>
      <c r="S165" s="50"/>
      <c r="T165" s="50"/>
      <c r="U165" s="52"/>
      <c r="V165" s="58" t="n">
        <f aca="false">IF(OR(B165="",I165="",F165="",F165=Cadastros!$E$4,F165=Cadastros!$E$9),999999,IF(COUNTIFS($B$5:$B$504,B165,$I$5:$I$504,"&gt;"&amp;I165)=0,YEAR(I165)*12+MONTH(I165),999999))</f>
        <v>999999</v>
      </c>
      <c r="W165" s="58" t="n">
        <f aca="false">IF(U165="",999999,YEAR(U165)*12+MONTH(U165))</f>
        <v>999999</v>
      </c>
      <c r="X165" s="58" t="n">
        <f aca="false">IF(F165=Cadastros!$E$6,3,IF(F165=Cadastros!$E$7,6,IF(F165=Cadastros!$E$8,12,1)))</f>
        <v>1</v>
      </c>
    </row>
    <row r="166" customFormat="false" ht="15" hidden="false" customHeight="false" outlineLevel="0" collapsed="false">
      <c r="A166" s="49" t="str">
        <f aca="false">IF(B166="","",ROW()-4)</f>
        <v/>
      </c>
      <c r="B166" s="50"/>
      <c r="C166" s="50"/>
      <c r="D166" s="50"/>
      <c r="E166" s="51"/>
      <c r="F166" s="51"/>
      <c r="G166" s="51"/>
      <c r="H166" s="52"/>
      <c r="I166" s="53"/>
      <c r="J166" s="54"/>
      <c r="K166" s="53"/>
      <c r="L166" s="54"/>
      <c r="M166" s="55" t="str">
        <f aca="false">IF(L166="","",L166-J166)</f>
        <v/>
      </c>
      <c r="N166" s="56" t="str">
        <f aca="true">IF(I166="","",IF(K166&lt;&gt;"","PAGO",IF(I166&lt;TODAY(),"VENCIDO",IF(I166=TODAY(),"VENCE HOJE","A VENCER"))))</f>
        <v/>
      </c>
      <c r="O166" s="57" t="str">
        <f aca="true">IF(OR(I166="",K166&lt;&gt;""),"",I166-TODAY())</f>
        <v/>
      </c>
      <c r="P166" s="51"/>
      <c r="Q166" s="51"/>
      <c r="R166" s="51"/>
      <c r="S166" s="50"/>
      <c r="T166" s="50"/>
      <c r="U166" s="52"/>
      <c r="V166" s="58" t="n">
        <f aca="false">IF(OR(B166="",I166="",F166="",F166=Cadastros!$E$4,F166=Cadastros!$E$9),999999,IF(COUNTIFS($B$5:$B$504,B166,$I$5:$I$504,"&gt;"&amp;I166)=0,YEAR(I166)*12+MONTH(I166),999999))</f>
        <v>999999</v>
      </c>
      <c r="W166" s="58" t="n">
        <f aca="false">IF(U166="",999999,YEAR(U166)*12+MONTH(U166))</f>
        <v>999999</v>
      </c>
      <c r="X166" s="58" t="n">
        <f aca="false">IF(F166=Cadastros!$E$6,3,IF(F166=Cadastros!$E$7,6,IF(F166=Cadastros!$E$8,12,1)))</f>
        <v>1</v>
      </c>
    </row>
    <row r="167" customFormat="false" ht="15" hidden="false" customHeight="false" outlineLevel="0" collapsed="false">
      <c r="A167" s="49" t="str">
        <f aca="false">IF(B167="","",ROW()-4)</f>
        <v/>
      </c>
      <c r="B167" s="50"/>
      <c r="C167" s="50"/>
      <c r="D167" s="50"/>
      <c r="E167" s="51"/>
      <c r="F167" s="51"/>
      <c r="G167" s="51"/>
      <c r="H167" s="52"/>
      <c r="I167" s="53"/>
      <c r="J167" s="54"/>
      <c r="K167" s="53"/>
      <c r="L167" s="54"/>
      <c r="M167" s="55" t="str">
        <f aca="false">IF(L167="","",L167-J167)</f>
        <v/>
      </c>
      <c r="N167" s="56" t="str">
        <f aca="true">IF(I167="","",IF(K167&lt;&gt;"","PAGO",IF(I167&lt;TODAY(),"VENCIDO",IF(I167=TODAY(),"VENCE HOJE","A VENCER"))))</f>
        <v/>
      </c>
      <c r="O167" s="57" t="str">
        <f aca="true">IF(OR(I167="",K167&lt;&gt;""),"",I167-TODAY())</f>
        <v/>
      </c>
      <c r="P167" s="51"/>
      <c r="Q167" s="51"/>
      <c r="R167" s="51"/>
      <c r="S167" s="50"/>
      <c r="T167" s="50"/>
      <c r="U167" s="52"/>
      <c r="V167" s="58" t="n">
        <f aca="false">IF(OR(B167="",I167="",F167="",F167=Cadastros!$E$4,F167=Cadastros!$E$9),999999,IF(COUNTIFS($B$5:$B$504,B167,$I$5:$I$504,"&gt;"&amp;I167)=0,YEAR(I167)*12+MONTH(I167),999999))</f>
        <v>999999</v>
      </c>
      <c r="W167" s="58" t="n">
        <f aca="false">IF(U167="",999999,YEAR(U167)*12+MONTH(U167))</f>
        <v>999999</v>
      </c>
      <c r="X167" s="58" t="n">
        <f aca="false">IF(F167=Cadastros!$E$6,3,IF(F167=Cadastros!$E$7,6,IF(F167=Cadastros!$E$8,12,1)))</f>
        <v>1</v>
      </c>
    </row>
    <row r="168" customFormat="false" ht="15" hidden="false" customHeight="false" outlineLevel="0" collapsed="false">
      <c r="A168" s="49" t="str">
        <f aca="false">IF(B168="","",ROW()-4)</f>
        <v/>
      </c>
      <c r="B168" s="50"/>
      <c r="C168" s="50"/>
      <c r="D168" s="50"/>
      <c r="E168" s="51"/>
      <c r="F168" s="51"/>
      <c r="G168" s="51"/>
      <c r="H168" s="52"/>
      <c r="I168" s="53"/>
      <c r="J168" s="54"/>
      <c r="K168" s="53"/>
      <c r="L168" s="54"/>
      <c r="M168" s="55" t="str">
        <f aca="false">IF(L168="","",L168-J168)</f>
        <v/>
      </c>
      <c r="N168" s="56" t="str">
        <f aca="true">IF(I168="","",IF(K168&lt;&gt;"","PAGO",IF(I168&lt;TODAY(),"VENCIDO",IF(I168=TODAY(),"VENCE HOJE","A VENCER"))))</f>
        <v/>
      </c>
      <c r="O168" s="57" t="str">
        <f aca="true">IF(OR(I168="",K168&lt;&gt;""),"",I168-TODAY())</f>
        <v/>
      </c>
      <c r="P168" s="51"/>
      <c r="Q168" s="51"/>
      <c r="R168" s="51"/>
      <c r="S168" s="50"/>
      <c r="T168" s="50"/>
      <c r="U168" s="52"/>
      <c r="V168" s="58" t="n">
        <f aca="false">IF(OR(B168="",I168="",F168="",F168=Cadastros!$E$4,F168=Cadastros!$E$9),999999,IF(COUNTIFS($B$5:$B$504,B168,$I$5:$I$504,"&gt;"&amp;I168)=0,YEAR(I168)*12+MONTH(I168),999999))</f>
        <v>999999</v>
      </c>
      <c r="W168" s="58" t="n">
        <f aca="false">IF(U168="",999999,YEAR(U168)*12+MONTH(U168))</f>
        <v>999999</v>
      </c>
      <c r="X168" s="58" t="n">
        <f aca="false">IF(F168=Cadastros!$E$6,3,IF(F168=Cadastros!$E$7,6,IF(F168=Cadastros!$E$8,12,1)))</f>
        <v>1</v>
      </c>
    </row>
    <row r="169" customFormat="false" ht="15" hidden="false" customHeight="false" outlineLevel="0" collapsed="false">
      <c r="A169" s="49" t="str">
        <f aca="false">IF(B169="","",ROW()-4)</f>
        <v/>
      </c>
      <c r="B169" s="50"/>
      <c r="C169" s="50"/>
      <c r="D169" s="50"/>
      <c r="E169" s="51"/>
      <c r="F169" s="51"/>
      <c r="G169" s="51"/>
      <c r="H169" s="52"/>
      <c r="I169" s="53"/>
      <c r="J169" s="54"/>
      <c r="K169" s="53"/>
      <c r="L169" s="54"/>
      <c r="M169" s="55" t="str">
        <f aca="false">IF(L169="","",L169-J169)</f>
        <v/>
      </c>
      <c r="N169" s="56" t="str">
        <f aca="true">IF(I169="","",IF(K169&lt;&gt;"","PAGO",IF(I169&lt;TODAY(),"VENCIDO",IF(I169=TODAY(),"VENCE HOJE","A VENCER"))))</f>
        <v/>
      </c>
      <c r="O169" s="57" t="str">
        <f aca="true">IF(OR(I169="",K169&lt;&gt;""),"",I169-TODAY())</f>
        <v/>
      </c>
      <c r="P169" s="51"/>
      <c r="Q169" s="51"/>
      <c r="R169" s="51"/>
      <c r="S169" s="50"/>
      <c r="T169" s="50"/>
      <c r="U169" s="52"/>
      <c r="V169" s="58" t="n">
        <f aca="false">IF(OR(B169="",I169="",F169="",F169=Cadastros!$E$4,F169=Cadastros!$E$9),999999,IF(COUNTIFS($B$5:$B$504,B169,$I$5:$I$504,"&gt;"&amp;I169)=0,YEAR(I169)*12+MONTH(I169),999999))</f>
        <v>999999</v>
      </c>
      <c r="W169" s="58" t="n">
        <f aca="false">IF(U169="",999999,YEAR(U169)*12+MONTH(U169))</f>
        <v>999999</v>
      </c>
      <c r="X169" s="58" t="n">
        <f aca="false">IF(F169=Cadastros!$E$6,3,IF(F169=Cadastros!$E$7,6,IF(F169=Cadastros!$E$8,12,1)))</f>
        <v>1</v>
      </c>
    </row>
    <row r="170" customFormat="false" ht="15" hidden="false" customHeight="false" outlineLevel="0" collapsed="false">
      <c r="A170" s="49" t="str">
        <f aca="false">IF(B170="","",ROW()-4)</f>
        <v/>
      </c>
      <c r="B170" s="50"/>
      <c r="C170" s="50"/>
      <c r="D170" s="50"/>
      <c r="E170" s="51"/>
      <c r="F170" s="51"/>
      <c r="G170" s="51"/>
      <c r="H170" s="52"/>
      <c r="I170" s="53"/>
      <c r="J170" s="54"/>
      <c r="K170" s="53"/>
      <c r="L170" s="54"/>
      <c r="M170" s="55" t="str">
        <f aca="false">IF(L170="","",L170-J170)</f>
        <v/>
      </c>
      <c r="N170" s="56" t="str">
        <f aca="true">IF(I170="","",IF(K170&lt;&gt;"","PAGO",IF(I170&lt;TODAY(),"VENCIDO",IF(I170=TODAY(),"VENCE HOJE","A VENCER"))))</f>
        <v/>
      </c>
      <c r="O170" s="57" t="str">
        <f aca="true">IF(OR(I170="",K170&lt;&gt;""),"",I170-TODAY())</f>
        <v/>
      </c>
      <c r="P170" s="51"/>
      <c r="Q170" s="51"/>
      <c r="R170" s="51"/>
      <c r="S170" s="50"/>
      <c r="T170" s="50"/>
      <c r="U170" s="52"/>
      <c r="V170" s="58" t="n">
        <f aca="false">IF(OR(B170="",I170="",F170="",F170=Cadastros!$E$4,F170=Cadastros!$E$9),999999,IF(COUNTIFS($B$5:$B$504,B170,$I$5:$I$504,"&gt;"&amp;I170)=0,YEAR(I170)*12+MONTH(I170),999999))</f>
        <v>999999</v>
      </c>
      <c r="W170" s="58" t="n">
        <f aca="false">IF(U170="",999999,YEAR(U170)*12+MONTH(U170))</f>
        <v>999999</v>
      </c>
      <c r="X170" s="58" t="n">
        <f aca="false">IF(F170=Cadastros!$E$6,3,IF(F170=Cadastros!$E$7,6,IF(F170=Cadastros!$E$8,12,1)))</f>
        <v>1</v>
      </c>
    </row>
    <row r="171" customFormat="false" ht="15" hidden="false" customHeight="false" outlineLevel="0" collapsed="false">
      <c r="A171" s="49" t="str">
        <f aca="false">IF(B171="","",ROW()-4)</f>
        <v/>
      </c>
      <c r="B171" s="50"/>
      <c r="C171" s="50"/>
      <c r="D171" s="50"/>
      <c r="E171" s="51"/>
      <c r="F171" s="51"/>
      <c r="G171" s="51"/>
      <c r="H171" s="52"/>
      <c r="I171" s="53"/>
      <c r="J171" s="54"/>
      <c r="K171" s="53"/>
      <c r="L171" s="54"/>
      <c r="M171" s="55" t="str">
        <f aca="false">IF(L171="","",L171-J171)</f>
        <v/>
      </c>
      <c r="N171" s="56" t="str">
        <f aca="true">IF(I171="","",IF(K171&lt;&gt;"","PAGO",IF(I171&lt;TODAY(),"VENCIDO",IF(I171=TODAY(),"VENCE HOJE","A VENCER"))))</f>
        <v/>
      </c>
      <c r="O171" s="57" t="str">
        <f aca="true">IF(OR(I171="",K171&lt;&gt;""),"",I171-TODAY())</f>
        <v/>
      </c>
      <c r="P171" s="51"/>
      <c r="Q171" s="51"/>
      <c r="R171" s="51"/>
      <c r="S171" s="50"/>
      <c r="T171" s="50"/>
      <c r="U171" s="52"/>
      <c r="V171" s="58" t="n">
        <f aca="false">IF(OR(B171="",I171="",F171="",F171=Cadastros!$E$4,F171=Cadastros!$E$9),999999,IF(COUNTIFS($B$5:$B$504,B171,$I$5:$I$504,"&gt;"&amp;I171)=0,YEAR(I171)*12+MONTH(I171),999999))</f>
        <v>999999</v>
      </c>
      <c r="W171" s="58" t="n">
        <f aca="false">IF(U171="",999999,YEAR(U171)*12+MONTH(U171))</f>
        <v>999999</v>
      </c>
      <c r="X171" s="58" t="n">
        <f aca="false">IF(F171=Cadastros!$E$6,3,IF(F171=Cadastros!$E$7,6,IF(F171=Cadastros!$E$8,12,1)))</f>
        <v>1</v>
      </c>
    </row>
    <row r="172" customFormat="false" ht="15" hidden="false" customHeight="false" outlineLevel="0" collapsed="false">
      <c r="A172" s="49" t="str">
        <f aca="false">IF(B172="","",ROW()-4)</f>
        <v/>
      </c>
      <c r="B172" s="50"/>
      <c r="C172" s="50"/>
      <c r="D172" s="50"/>
      <c r="E172" s="51"/>
      <c r="F172" s="51"/>
      <c r="G172" s="51"/>
      <c r="H172" s="52"/>
      <c r="I172" s="53"/>
      <c r="J172" s="54"/>
      <c r="K172" s="53"/>
      <c r="L172" s="54"/>
      <c r="M172" s="55" t="str">
        <f aca="false">IF(L172="","",L172-J172)</f>
        <v/>
      </c>
      <c r="N172" s="56" t="str">
        <f aca="true">IF(I172="","",IF(K172&lt;&gt;"","PAGO",IF(I172&lt;TODAY(),"VENCIDO",IF(I172=TODAY(),"VENCE HOJE","A VENCER"))))</f>
        <v/>
      </c>
      <c r="O172" s="57" t="str">
        <f aca="true">IF(OR(I172="",K172&lt;&gt;""),"",I172-TODAY())</f>
        <v/>
      </c>
      <c r="P172" s="51"/>
      <c r="Q172" s="51"/>
      <c r="R172" s="51"/>
      <c r="S172" s="50"/>
      <c r="T172" s="50"/>
      <c r="U172" s="52"/>
      <c r="V172" s="58" t="n">
        <f aca="false">IF(OR(B172="",I172="",F172="",F172=Cadastros!$E$4,F172=Cadastros!$E$9),999999,IF(COUNTIFS($B$5:$B$504,B172,$I$5:$I$504,"&gt;"&amp;I172)=0,YEAR(I172)*12+MONTH(I172),999999))</f>
        <v>999999</v>
      </c>
      <c r="W172" s="58" t="n">
        <f aca="false">IF(U172="",999999,YEAR(U172)*12+MONTH(U172))</f>
        <v>999999</v>
      </c>
      <c r="X172" s="58" t="n">
        <f aca="false">IF(F172=Cadastros!$E$6,3,IF(F172=Cadastros!$E$7,6,IF(F172=Cadastros!$E$8,12,1)))</f>
        <v>1</v>
      </c>
    </row>
    <row r="173" customFormat="false" ht="15" hidden="false" customHeight="false" outlineLevel="0" collapsed="false">
      <c r="A173" s="49" t="str">
        <f aca="false">IF(B173="","",ROW()-4)</f>
        <v/>
      </c>
      <c r="B173" s="50"/>
      <c r="C173" s="50"/>
      <c r="D173" s="50"/>
      <c r="E173" s="51"/>
      <c r="F173" s="51"/>
      <c r="G173" s="51"/>
      <c r="H173" s="52"/>
      <c r="I173" s="53"/>
      <c r="J173" s="54"/>
      <c r="K173" s="53"/>
      <c r="L173" s="54"/>
      <c r="M173" s="55" t="str">
        <f aca="false">IF(L173="","",L173-J173)</f>
        <v/>
      </c>
      <c r="N173" s="56" t="str">
        <f aca="true">IF(I173="","",IF(K173&lt;&gt;"","PAGO",IF(I173&lt;TODAY(),"VENCIDO",IF(I173=TODAY(),"VENCE HOJE","A VENCER"))))</f>
        <v/>
      </c>
      <c r="O173" s="57" t="str">
        <f aca="true">IF(OR(I173="",K173&lt;&gt;""),"",I173-TODAY())</f>
        <v/>
      </c>
      <c r="P173" s="51"/>
      <c r="Q173" s="51"/>
      <c r="R173" s="51"/>
      <c r="S173" s="50"/>
      <c r="T173" s="50"/>
      <c r="U173" s="52"/>
      <c r="V173" s="58" t="n">
        <f aca="false">IF(OR(B173="",I173="",F173="",F173=Cadastros!$E$4,F173=Cadastros!$E$9),999999,IF(COUNTIFS($B$5:$B$504,B173,$I$5:$I$504,"&gt;"&amp;I173)=0,YEAR(I173)*12+MONTH(I173),999999))</f>
        <v>999999</v>
      </c>
      <c r="W173" s="58" t="n">
        <f aca="false">IF(U173="",999999,YEAR(U173)*12+MONTH(U173))</f>
        <v>999999</v>
      </c>
      <c r="X173" s="58" t="n">
        <f aca="false">IF(F173=Cadastros!$E$6,3,IF(F173=Cadastros!$E$7,6,IF(F173=Cadastros!$E$8,12,1)))</f>
        <v>1</v>
      </c>
    </row>
    <row r="174" customFormat="false" ht="15" hidden="false" customHeight="false" outlineLevel="0" collapsed="false">
      <c r="A174" s="49" t="str">
        <f aca="false">IF(B174="","",ROW()-4)</f>
        <v/>
      </c>
      <c r="B174" s="50"/>
      <c r="C174" s="50"/>
      <c r="D174" s="50"/>
      <c r="E174" s="51"/>
      <c r="F174" s="51"/>
      <c r="G174" s="51"/>
      <c r="H174" s="52"/>
      <c r="I174" s="53"/>
      <c r="J174" s="54"/>
      <c r="K174" s="53"/>
      <c r="L174" s="54"/>
      <c r="M174" s="55" t="str">
        <f aca="false">IF(L174="","",L174-J174)</f>
        <v/>
      </c>
      <c r="N174" s="56" t="str">
        <f aca="true">IF(I174="","",IF(K174&lt;&gt;"","PAGO",IF(I174&lt;TODAY(),"VENCIDO",IF(I174=TODAY(),"VENCE HOJE","A VENCER"))))</f>
        <v/>
      </c>
      <c r="O174" s="57" t="str">
        <f aca="true">IF(OR(I174="",K174&lt;&gt;""),"",I174-TODAY())</f>
        <v/>
      </c>
      <c r="P174" s="51"/>
      <c r="Q174" s="51"/>
      <c r="R174" s="51"/>
      <c r="S174" s="50"/>
      <c r="T174" s="50"/>
      <c r="U174" s="52"/>
      <c r="V174" s="58" t="n">
        <f aca="false">IF(OR(B174="",I174="",F174="",F174=Cadastros!$E$4,F174=Cadastros!$E$9),999999,IF(COUNTIFS($B$5:$B$504,B174,$I$5:$I$504,"&gt;"&amp;I174)=0,YEAR(I174)*12+MONTH(I174),999999))</f>
        <v>999999</v>
      </c>
      <c r="W174" s="58" t="n">
        <f aca="false">IF(U174="",999999,YEAR(U174)*12+MONTH(U174))</f>
        <v>999999</v>
      </c>
      <c r="X174" s="58" t="n">
        <f aca="false">IF(F174=Cadastros!$E$6,3,IF(F174=Cadastros!$E$7,6,IF(F174=Cadastros!$E$8,12,1)))</f>
        <v>1</v>
      </c>
    </row>
    <row r="175" customFormat="false" ht="15" hidden="false" customHeight="false" outlineLevel="0" collapsed="false">
      <c r="A175" s="49" t="str">
        <f aca="false">IF(B175="","",ROW()-4)</f>
        <v/>
      </c>
      <c r="B175" s="50"/>
      <c r="C175" s="50"/>
      <c r="D175" s="50"/>
      <c r="E175" s="51"/>
      <c r="F175" s="51"/>
      <c r="G175" s="51"/>
      <c r="H175" s="52"/>
      <c r="I175" s="53"/>
      <c r="J175" s="54"/>
      <c r="K175" s="53"/>
      <c r="L175" s="54"/>
      <c r="M175" s="55" t="str">
        <f aca="false">IF(L175="","",L175-J175)</f>
        <v/>
      </c>
      <c r="N175" s="56" t="str">
        <f aca="true">IF(I175="","",IF(K175&lt;&gt;"","PAGO",IF(I175&lt;TODAY(),"VENCIDO",IF(I175=TODAY(),"VENCE HOJE","A VENCER"))))</f>
        <v/>
      </c>
      <c r="O175" s="57" t="str">
        <f aca="true">IF(OR(I175="",K175&lt;&gt;""),"",I175-TODAY())</f>
        <v/>
      </c>
      <c r="P175" s="51"/>
      <c r="Q175" s="51"/>
      <c r="R175" s="51"/>
      <c r="S175" s="50"/>
      <c r="T175" s="50"/>
      <c r="U175" s="52"/>
      <c r="V175" s="58" t="n">
        <f aca="false">IF(OR(B175="",I175="",F175="",F175=Cadastros!$E$4,F175=Cadastros!$E$9),999999,IF(COUNTIFS($B$5:$B$504,B175,$I$5:$I$504,"&gt;"&amp;I175)=0,YEAR(I175)*12+MONTH(I175),999999))</f>
        <v>999999</v>
      </c>
      <c r="W175" s="58" t="n">
        <f aca="false">IF(U175="",999999,YEAR(U175)*12+MONTH(U175))</f>
        <v>999999</v>
      </c>
      <c r="X175" s="58" t="n">
        <f aca="false">IF(F175=Cadastros!$E$6,3,IF(F175=Cadastros!$E$7,6,IF(F175=Cadastros!$E$8,12,1)))</f>
        <v>1</v>
      </c>
    </row>
    <row r="176" customFormat="false" ht="15" hidden="false" customHeight="false" outlineLevel="0" collapsed="false">
      <c r="A176" s="49" t="str">
        <f aca="false">IF(B176="","",ROW()-4)</f>
        <v/>
      </c>
      <c r="B176" s="50"/>
      <c r="C176" s="50"/>
      <c r="D176" s="50"/>
      <c r="E176" s="51"/>
      <c r="F176" s="51"/>
      <c r="G176" s="51"/>
      <c r="H176" s="52"/>
      <c r="I176" s="53"/>
      <c r="J176" s="54"/>
      <c r="K176" s="53"/>
      <c r="L176" s="54"/>
      <c r="M176" s="55" t="str">
        <f aca="false">IF(L176="","",L176-J176)</f>
        <v/>
      </c>
      <c r="N176" s="56" t="str">
        <f aca="true">IF(I176="","",IF(K176&lt;&gt;"","PAGO",IF(I176&lt;TODAY(),"VENCIDO",IF(I176=TODAY(),"VENCE HOJE","A VENCER"))))</f>
        <v/>
      </c>
      <c r="O176" s="57" t="str">
        <f aca="true">IF(OR(I176="",K176&lt;&gt;""),"",I176-TODAY())</f>
        <v/>
      </c>
      <c r="P176" s="51"/>
      <c r="Q176" s="51"/>
      <c r="R176" s="51"/>
      <c r="S176" s="50"/>
      <c r="T176" s="50"/>
      <c r="U176" s="52"/>
      <c r="V176" s="58" t="n">
        <f aca="false">IF(OR(B176="",I176="",F176="",F176=Cadastros!$E$4,F176=Cadastros!$E$9),999999,IF(COUNTIFS($B$5:$B$504,B176,$I$5:$I$504,"&gt;"&amp;I176)=0,YEAR(I176)*12+MONTH(I176),999999))</f>
        <v>999999</v>
      </c>
      <c r="W176" s="58" t="n">
        <f aca="false">IF(U176="",999999,YEAR(U176)*12+MONTH(U176))</f>
        <v>999999</v>
      </c>
      <c r="X176" s="58" t="n">
        <f aca="false">IF(F176=Cadastros!$E$6,3,IF(F176=Cadastros!$E$7,6,IF(F176=Cadastros!$E$8,12,1)))</f>
        <v>1</v>
      </c>
    </row>
    <row r="177" customFormat="false" ht="15" hidden="false" customHeight="false" outlineLevel="0" collapsed="false">
      <c r="A177" s="49" t="str">
        <f aca="false">IF(B177="","",ROW()-4)</f>
        <v/>
      </c>
      <c r="B177" s="50"/>
      <c r="C177" s="50"/>
      <c r="D177" s="50"/>
      <c r="E177" s="51"/>
      <c r="F177" s="51"/>
      <c r="G177" s="51"/>
      <c r="H177" s="52"/>
      <c r="I177" s="53"/>
      <c r="J177" s="54"/>
      <c r="K177" s="53"/>
      <c r="L177" s="54"/>
      <c r="M177" s="55" t="str">
        <f aca="false">IF(L177="","",L177-J177)</f>
        <v/>
      </c>
      <c r="N177" s="56" t="str">
        <f aca="true">IF(I177="","",IF(K177&lt;&gt;"","PAGO",IF(I177&lt;TODAY(),"VENCIDO",IF(I177=TODAY(),"VENCE HOJE","A VENCER"))))</f>
        <v/>
      </c>
      <c r="O177" s="57" t="str">
        <f aca="true">IF(OR(I177="",K177&lt;&gt;""),"",I177-TODAY())</f>
        <v/>
      </c>
      <c r="P177" s="51"/>
      <c r="Q177" s="51"/>
      <c r="R177" s="51"/>
      <c r="S177" s="50"/>
      <c r="T177" s="50"/>
      <c r="U177" s="52"/>
      <c r="V177" s="58" t="n">
        <f aca="false">IF(OR(B177="",I177="",F177="",F177=Cadastros!$E$4,F177=Cadastros!$E$9),999999,IF(COUNTIFS($B$5:$B$504,B177,$I$5:$I$504,"&gt;"&amp;I177)=0,YEAR(I177)*12+MONTH(I177),999999))</f>
        <v>999999</v>
      </c>
      <c r="W177" s="58" t="n">
        <f aca="false">IF(U177="",999999,YEAR(U177)*12+MONTH(U177))</f>
        <v>999999</v>
      </c>
      <c r="X177" s="58" t="n">
        <f aca="false">IF(F177=Cadastros!$E$6,3,IF(F177=Cadastros!$E$7,6,IF(F177=Cadastros!$E$8,12,1)))</f>
        <v>1</v>
      </c>
    </row>
    <row r="178" customFormat="false" ht="15" hidden="false" customHeight="false" outlineLevel="0" collapsed="false">
      <c r="A178" s="49" t="str">
        <f aca="false">IF(B178="","",ROW()-4)</f>
        <v/>
      </c>
      <c r="B178" s="50"/>
      <c r="C178" s="50"/>
      <c r="D178" s="50"/>
      <c r="E178" s="51"/>
      <c r="F178" s="51"/>
      <c r="G178" s="51"/>
      <c r="H178" s="52"/>
      <c r="I178" s="53"/>
      <c r="J178" s="54"/>
      <c r="K178" s="53"/>
      <c r="L178" s="54"/>
      <c r="M178" s="55" t="str">
        <f aca="false">IF(L178="","",L178-J178)</f>
        <v/>
      </c>
      <c r="N178" s="56" t="str">
        <f aca="true">IF(I178="","",IF(K178&lt;&gt;"","PAGO",IF(I178&lt;TODAY(),"VENCIDO",IF(I178=TODAY(),"VENCE HOJE","A VENCER"))))</f>
        <v/>
      </c>
      <c r="O178" s="57" t="str">
        <f aca="true">IF(OR(I178="",K178&lt;&gt;""),"",I178-TODAY())</f>
        <v/>
      </c>
      <c r="P178" s="51"/>
      <c r="Q178" s="51"/>
      <c r="R178" s="51"/>
      <c r="S178" s="50"/>
      <c r="T178" s="50"/>
      <c r="U178" s="52"/>
      <c r="V178" s="58" t="n">
        <f aca="false">IF(OR(B178="",I178="",F178="",F178=Cadastros!$E$4,F178=Cadastros!$E$9),999999,IF(COUNTIFS($B$5:$B$504,B178,$I$5:$I$504,"&gt;"&amp;I178)=0,YEAR(I178)*12+MONTH(I178),999999))</f>
        <v>999999</v>
      </c>
      <c r="W178" s="58" t="n">
        <f aca="false">IF(U178="",999999,YEAR(U178)*12+MONTH(U178))</f>
        <v>999999</v>
      </c>
      <c r="X178" s="58" t="n">
        <f aca="false">IF(F178=Cadastros!$E$6,3,IF(F178=Cadastros!$E$7,6,IF(F178=Cadastros!$E$8,12,1)))</f>
        <v>1</v>
      </c>
    </row>
    <row r="179" customFormat="false" ht="15" hidden="false" customHeight="false" outlineLevel="0" collapsed="false">
      <c r="A179" s="49" t="str">
        <f aca="false">IF(B179="","",ROW()-4)</f>
        <v/>
      </c>
      <c r="B179" s="50"/>
      <c r="C179" s="50"/>
      <c r="D179" s="50"/>
      <c r="E179" s="51"/>
      <c r="F179" s="51"/>
      <c r="G179" s="51"/>
      <c r="H179" s="52"/>
      <c r="I179" s="53"/>
      <c r="J179" s="54"/>
      <c r="K179" s="53"/>
      <c r="L179" s="54"/>
      <c r="M179" s="55" t="str">
        <f aca="false">IF(L179="","",L179-J179)</f>
        <v/>
      </c>
      <c r="N179" s="56" t="str">
        <f aca="true">IF(I179="","",IF(K179&lt;&gt;"","PAGO",IF(I179&lt;TODAY(),"VENCIDO",IF(I179=TODAY(),"VENCE HOJE","A VENCER"))))</f>
        <v/>
      </c>
      <c r="O179" s="57" t="str">
        <f aca="true">IF(OR(I179="",K179&lt;&gt;""),"",I179-TODAY())</f>
        <v/>
      </c>
      <c r="P179" s="51"/>
      <c r="Q179" s="51"/>
      <c r="R179" s="51"/>
      <c r="S179" s="50"/>
      <c r="T179" s="50"/>
      <c r="U179" s="52"/>
      <c r="V179" s="58" t="n">
        <f aca="false">IF(OR(B179="",I179="",F179="",F179=Cadastros!$E$4,F179=Cadastros!$E$9),999999,IF(COUNTIFS($B$5:$B$504,B179,$I$5:$I$504,"&gt;"&amp;I179)=0,YEAR(I179)*12+MONTH(I179),999999))</f>
        <v>999999</v>
      </c>
      <c r="W179" s="58" t="n">
        <f aca="false">IF(U179="",999999,YEAR(U179)*12+MONTH(U179))</f>
        <v>999999</v>
      </c>
      <c r="X179" s="58" t="n">
        <f aca="false">IF(F179=Cadastros!$E$6,3,IF(F179=Cadastros!$E$7,6,IF(F179=Cadastros!$E$8,12,1)))</f>
        <v>1</v>
      </c>
    </row>
    <row r="180" customFormat="false" ht="15" hidden="false" customHeight="false" outlineLevel="0" collapsed="false">
      <c r="A180" s="49" t="str">
        <f aca="false">IF(B180="","",ROW()-4)</f>
        <v/>
      </c>
      <c r="B180" s="50"/>
      <c r="C180" s="50"/>
      <c r="D180" s="50"/>
      <c r="E180" s="51"/>
      <c r="F180" s="51"/>
      <c r="G180" s="51"/>
      <c r="H180" s="52"/>
      <c r="I180" s="53"/>
      <c r="J180" s="54"/>
      <c r="K180" s="53"/>
      <c r="L180" s="54"/>
      <c r="M180" s="55" t="str">
        <f aca="false">IF(L180="","",L180-J180)</f>
        <v/>
      </c>
      <c r="N180" s="56" t="str">
        <f aca="true">IF(I180="","",IF(K180&lt;&gt;"","PAGO",IF(I180&lt;TODAY(),"VENCIDO",IF(I180=TODAY(),"VENCE HOJE","A VENCER"))))</f>
        <v/>
      </c>
      <c r="O180" s="57" t="str">
        <f aca="true">IF(OR(I180="",K180&lt;&gt;""),"",I180-TODAY())</f>
        <v/>
      </c>
      <c r="P180" s="51"/>
      <c r="Q180" s="51"/>
      <c r="R180" s="51"/>
      <c r="S180" s="50"/>
      <c r="T180" s="50"/>
      <c r="U180" s="52"/>
      <c r="V180" s="58" t="n">
        <f aca="false">IF(OR(B180="",I180="",F180="",F180=Cadastros!$E$4,F180=Cadastros!$E$9),999999,IF(COUNTIFS($B$5:$B$504,B180,$I$5:$I$504,"&gt;"&amp;I180)=0,YEAR(I180)*12+MONTH(I180),999999))</f>
        <v>999999</v>
      </c>
      <c r="W180" s="58" t="n">
        <f aca="false">IF(U180="",999999,YEAR(U180)*12+MONTH(U180))</f>
        <v>999999</v>
      </c>
      <c r="X180" s="58" t="n">
        <f aca="false">IF(F180=Cadastros!$E$6,3,IF(F180=Cadastros!$E$7,6,IF(F180=Cadastros!$E$8,12,1)))</f>
        <v>1</v>
      </c>
    </row>
    <row r="181" customFormat="false" ht="15" hidden="false" customHeight="false" outlineLevel="0" collapsed="false">
      <c r="A181" s="49" t="str">
        <f aca="false">IF(B181="","",ROW()-4)</f>
        <v/>
      </c>
      <c r="B181" s="50"/>
      <c r="C181" s="50"/>
      <c r="D181" s="50"/>
      <c r="E181" s="51"/>
      <c r="F181" s="51"/>
      <c r="G181" s="51"/>
      <c r="H181" s="52"/>
      <c r="I181" s="53"/>
      <c r="J181" s="54"/>
      <c r="K181" s="53"/>
      <c r="L181" s="54"/>
      <c r="M181" s="55" t="str">
        <f aca="false">IF(L181="","",L181-J181)</f>
        <v/>
      </c>
      <c r="N181" s="56" t="str">
        <f aca="true">IF(I181="","",IF(K181&lt;&gt;"","PAGO",IF(I181&lt;TODAY(),"VENCIDO",IF(I181=TODAY(),"VENCE HOJE","A VENCER"))))</f>
        <v/>
      </c>
      <c r="O181" s="57" t="str">
        <f aca="true">IF(OR(I181="",K181&lt;&gt;""),"",I181-TODAY())</f>
        <v/>
      </c>
      <c r="P181" s="51"/>
      <c r="Q181" s="51"/>
      <c r="R181" s="51"/>
      <c r="S181" s="50"/>
      <c r="T181" s="50"/>
      <c r="U181" s="52"/>
      <c r="V181" s="58" t="n">
        <f aca="false">IF(OR(B181="",I181="",F181="",F181=Cadastros!$E$4,F181=Cadastros!$E$9),999999,IF(COUNTIFS($B$5:$B$504,B181,$I$5:$I$504,"&gt;"&amp;I181)=0,YEAR(I181)*12+MONTH(I181),999999))</f>
        <v>999999</v>
      </c>
      <c r="W181" s="58" t="n">
        <f aca="false">IF(U181="",999999,YEAR(U181)*12+MONTH(U181))</f>
        <v>999999</v>
      </c>
      <c r="X181" s="58" t="n">
        <f aca="false">IF(F181=Cadastros!$E$6,3,IF(F181=Cadastros!$E$7,6,IF(F181=Cadastros!$E$8,12,1)))</f>
        <v>1</v>
      </c>
    </row>
    <row r="182" customFormat="false" ht="15" hidden="false" customHeight="false" outlineLevel="0" collapsed="false">
      <c r="A182" s="49" t="str">
        <f aca="false">IF(B182="","",ROW()-4)</f>
        <v/>
      </c>
      <c r="B182" s="50"/>
      <c r="C182" s="50"/>
      <c r="D182" s="50"/>
      <c r="E182" s="51"/>
      <c r="F182" s="51"/>
      <c r="G182" s="51"/>
      <c r="H182" s="52"/>
      <c r="I182" s="53"/>
      <c r="J182" s="54"/>
      <c r="K182" s="53"/>
      <c r="L182" s="54"/>
      <c r="M182" s="55" t="str">
        <f aca="false">IF(L182="","",L182-J182)</f>
        <v/>
      </c>
      <c r="N182" s="56" t="str">
        <f aca="true">IF(I182="","",IF(K182&lt;&gt;"","PAGO",IF(I182&lt;TODAY(),"VENCIDO",IF(I182=TODAY(),"VENCE HOJE","A VENCER"))))</f>
        <v/>
      </c>
      <c r="O182" s="57" t="str">
        <f aca="true">IF(OR(I182="",K182&lt;&gt;""),"",I182-TODAY())</f>
        <v/>
      </c>
      <c r="P182" s="51"/>
      <c r="Q182" s="51"/>
      <c r="R182" s="51"/>
      <c r="S182" s="50"/>
      <c r="T182" s="50"/>
      <c r="U182" s="52"/>
      <c r="V182" s="58" t="n">
        <f aca="false">IF(OR(B182="",I182="",F182="",F182=Cadastros!$E$4,F182=Cadastros!$E$9),999999,IF(COUNTIFS($B$5:$B$504,B182,$I$5:$I$504,"&gt;"&amp;I182)=0,YEAR(I182)*12+MONTH(I182),999999))</f>
        <v>999999</v>
      </c>
      <c r="W182" s="58" t="n">
        <f aca="false">IF(U182="",999999,YEAR(U182)*12+MONTH(U182))</f>
        <v>999999</v>
      </c>
      <c r="X182" s="58" t="n">
        <f aca="false">IF(F182=Cadastros!$E$6,3,IF(F182=Cadastros!$E$7,6,IF(F182=Cadastros!$E$8,12,1)))</f>
        <v>1</v>
      </c>
    </row>
    <row r="183" customFormat="false" ht="15" hidden="false" customHeight="false" outlineLevel="0" collapsed="false">
      <c r="A183" s="49" t="str">
        <f aca="false">IF(B183="","",ROW()-4)</f>
        <v/>
      </c>
      <c r="B183" s="50"/>
      <c r="C183" s="50"/>
      <c r="D183" s="50"/>
      <c r="E183" s="51"/>
      <c r="F183" s="51"/>
      <c r="G183" s="51"/>
      <c r="H183" s="52"/>
      <c r="I183" s="53"/>
      <c r="J183" s="54"/>
      <c r="K183" s="53"/>
      <c r="L183" s="54"/>
      <c r="M183" s="55" t="str">
        <f aca="false">IF(L183="","",L183-J183)</f>
        <v/>
      </c>
      <c r="N183" s="56" t="str">
        <f aca="true">IF(I183="","",IF(K183&lt;&gt;"","PAGO",IF(I183&lt;TODAY(),"VENCIDO",IF(I183=TODAY(),"VENCE HOJE","A VENCER"))))</f>
        <v/>
      </c>
      <c r="O183" s="57" t="str">
        <f aca="true">IF(OR(I183="",K183&lt;&gt;""),"",I183-TODAY())</f>
        <v/>
      </c>
      <c r="P183" s="51"/>
      <c r="Q183" s="51"/>
      <c r="R183" s="51"/>
      <c r="S183" s="50"/>
      <c r="T183" s="50"/>
      <c r="U183" s="52"/>
      <c r="V183" s="58" t="n">
        <f aca="false">IF(OR(B183="",I183="",F183="",F183=Cadastros!$E$4,F183=Cadastros!$E$9),999999,IF(COUNTIFS($B$5:$B$504,B183,$I$5:$I$504,"&gt;"&amp;I183)=0,YEAR(I183)*12+MONTH(I183),999999))</f>
        <v>999999</v>
      </c>
      <c r="W183" s="58" t="n">
        <f aca="false">IF(U183="",999999,YEAR(U183)*12+MONTH(U183))</f>
        <v>999999</v>
      </c>
      <c r="X183" s="58" t="n">
        <f aca="false">IF(F183=Cadastros!$E$6,3,IF(F183=Cadastros!$E$7,6,IF(F183=Cadastros!$E$8,12,1)))</f>
        <v>1</v>
      </c>
    </row>
    <row r="184" customFormat="false" ht="15" hidden="false" customHeight="false" outlineLevel="0" collapsed="false">
      <c r="A184" s="49" t="str">
        <f aca="false">IF(B184="","",ROW()-4)</f>
        <v/>
      </c>
      <c r="B184" s="50"/>
      <c r="C184" s="50"/>
      <c r="D184" s="50"/>
      <c r="E184" s="51"/>
      <c r="F184" s="51"/>
      <c r="G184" s="51"/>
      <c r="H184" s="52"/>
      <c r="I184" s="53"/>
      <c r="J184" s="54"/>
      <c r="K184" s="53"/>
      <c r="L184" s="54"/>
      <c r="M184" s="55" t="str">
        <f aca="false">IF(L184="","",L184-J184)</f>
        <v/>
      </c>
      <c r="N184" s="56" t="str">
        <f aca="true">IF(I184="","",IF(K184&lt;&gt;"","PAGO",IF(I184&lt;TODAY(),"VENCIDO",IF(I184=TODAY(),"VENCE HOJE","A VENCER"))))</f>
        <v/>
      </c>
      <c r="O184" s="57" t="str">
        <f aca="true">IF(OR(I184="",K184&lt;&gt;""),"",I184-TODAY())</f>
        <v/>
      </c>
      <c r="P184" s="51"/>
      <c r="Q184" s="51"/>
      <c r="R184" s="51"/>
      <c r="S184" s="50"/>
      <c r="T184" s="50"/>
      <c r="U184" s="52"/>
      <c r="V184" s="58" t="n">
        <f aca="false">IF(OR(B184="",I184="",F184="",F184=Cadastros!$E$4,F184=Cadastros!$E$9),999999,IF(COUNTIFS($B$5:$B$504,B184,$I$5:$I$504,"&gt;"&amp;I184)=0,YEAR(I184)*12+MONTH(I184),999999))</f>
        <v>999999</v>
      </c>
      <c r="W184" s="58" t="n">
        <f aca="false">IF(U184="",999999,YEAR(U184)*12+MONTH(U184))</f>
        <v>999999</v>
      </c>
      <c r="X184" s="58" t="n">
        <f aca="false">IF(F184=Cadastros!$E$6,3,IF(F184=Cadastros!$E$7,6,IF(F184=Cadastros!$E$8,12,1)))</f>
        <v>1</v>
      </c>
    </row>
    <row r="185" customFormat="false" ht="15" hidden="false" customHeight="false" outlineLevel="0" collapsed="false">
      <c r="A185" s="49" t="str">
        <f aca="false">IF(B185="","",ROW()-4)</f>
        <v/>
      </c>
      <c r="B185" s="50"/>
      <c r="C185" s="50"/>
      <c r="D185" s="50"/>
      <c r="E185" s="51"/>
      <c r="F185" s="51"/>
      <c r="G185" s="51"/>
      <c r="H185" s="52"/>
      <c r="I185" s="53"/>
      <c r="J185" s="54"/>
      <c r="K185" s="53"/>
      <c r="L185" s="54"/>
      <c r="M185" s="55" t="str">
        <f aca="false">IF(L185="","",L185-J185)</f>
        <v/>
      </c>
      <c r="N185" s="56" t="str">
        <f aca="true">IF(I185="","",IF(K185&lt;&gt;"","PAGO",IF(I185&lt;TODAY(),"VENCIDO",IF(I185=TODAY(),"VENCE HOJE","A VENCER"))))</f>
        <v/>
      </c>
      <c r="O185" s="57" t="str">
        <f aca="true">IF(OR(I185="",K185&lt;&gt;""),"",I185-TODAY())</f>
        <v/>
      </c>
      <c r="P185" s="51"/>
      <c r="Q185" s="51"/>
      <c r="R185" s="51"/>
      <c r="S185" s="50"/>
      <c r="T185" s="50"/>
      <c r="U185" s="52"/>
      <c r="V185" s="58" t="n">
        <f aca="false">IF(OR(B185="",I185="",F185="",F185=Cadastros!$E$4,F185=Cadastros!$E$9),999999,IF(COUNTIFS($B$5:$B$504,B185,$I$5:$I$504,"&gt;"&amp;I185)=0,YEAR(I185)*12+MONTH(I185),999999))</f>
        <v>999999</v>
      </c>
      <c r="W185" s="58" t="n">
        <f aca="false">IF(U185="",999999,YEAR(U185)*12+MONTH(U185))</f>
        <v>999999</v>
      </c>
      <c r="X185" s="58" t="n">
        <f aca="false">IF(F185=Cadastros!$E$6,3,IF(F185=Cadastros!$E$7,6,IF(F185=Cadastros!$E$8,12,1)))</f>
        <v>1</v>
      </c>
    </row>
    <row r="186" customFormat="false" ht="15" hidden="false" customHeight="false" outlineLevel="0" collapsed="false">
      <c r="A186" s="49" t="str">
        <f aca="false">IF(B186="","",ROW()-4)</f>
        <v/>
      </c>
      <c r="B186" s="50"/>
      <c r="C186" s="50"/>
      <c r="D186" s="50"/>
      <c r="E186" s="51"/>
      <c r="F186" s="51"/>
      <c r="G186" s="51"/>
      <c r="H186" s="52"/>
      <c r="I186" s="53"/>
      <c r="J186" s="54"/>
      <c r="K186" s="53"/>
      <c r="L186" s="54"/>
      <c r="M186" s="55" t="str">
        <f aca="false">IF(L186="","",L186-J186)</f>
        <v/>
      </c>
      <c r="N186" s="56" t="str">
        <f aca="true">IF(I186="","",IF(K186&lt;&gt;"","PAGO",IF(I186&lt;TODAY(),"VENCIDO",IF(I186=TODAY(),"VENCE HOJE","A VENCER"))))</f>
        <v/>
      </c>
      <c r="O186" s="57" t="str">
        <f aca="true">IF(OR(I186="",K186&lt;&gt;""),"",I186-TODAY())</f>
        <v/>
      </c>
      <c r="P186" s="51"/>
      <c r="Q186" s="51"/>
      <c r="R186" s="51"/>
      <c r="S186" s="50"/>
      <c r="T186" s="50"/>
      <c r="U186" s="52"/>
      <c r="V186" s="58" t="n">
        <f aca="false">IF(OR(B186="",I186="",F186="",F186=Cadastros!$E$4,F186=Cadastros!$E$9),999999,IF(COUNTIFS($B$5:$B$504,B186,$I$5:$I$504,"&gt;"&amp;I186)=0,YEAR(I186)*12+MONTH(I186),999999))</f>
        <v>999999</v>
      </c>
      <c r="W186" s="58" t="n">
        <f aca="false">IF(U186="",999999,YEAR(U186)*12+MONTH(U186))</f>
        <v>999999</v>
      </c>
      <c r="X186" s="58" t="n">
        <f aca="false">IF(F186=Cadastros!$E$6,3,IF(F186=Cadastros!$E$7,6,IF(F186=Cadastros!$E$8,12,1)))</f>
        <v>1</v>
      </c>
    </row>
    <row r="187" customFormat="false" ht="15" hidden="false" customHeight="false" outlineLevel="0" collapsed="false">
      <c r="A187" s="49" t="str">
        <f aca="false">IF(B187="","",ROW()-4)</f>
        <v/>
      </c>
      <c r="B187" s="50"/>
      <c r="C187" s="50"/>
      <c r="D187" s="50"/>
      <c r="E187" s="51"/>
      <c r="F187" s="51"/>
      <c r="G187" s="51"/>
      <c r="H187" s="52"/>
      <c r="I187" s="53"/>
      <c r="J187" s="54"/>
      <c r="K187" s="53"/>
      <c r="L187" s="54"/>
      <c r="M187" s="55" t="str">
        <f aca="false">IF(L187="","",L187-J187)</f>
        <v/>
      </c>
      <c r="N187" s="56" t="str">
        <f aca="true">IF(I187="","",IF(K187&lt;&gt;"","PAGO",IF(I187&lt;TODAY(),"VENCIDO",IF(I187=TODAY(),"VENCE HOJE","A VENCER"))))</f>
        <v/>
      </c>
      <c r="O187" s="57" t="str">
        <f aca="true">IF(OR(I187="",K187&lt;&gt;""),"",I187-TODAY())</f>
        <v/>
      </c>
      <c r="P187" s="51"/>
      <c r="Q187" s="51"/>
      <c r="R187" s="51"/>
      <c r="S187" s="50"/>
      <c r="T187" s="50"/>
      <c r="U187" s="52"/>
      <c r="V187" s="58" t="n">
        <f aca="false">IF(OR(B187="",I187="",F187="",F187=Cadastros!$E$4,F187=Cadastros!$E$9),999999,IF(COUNTIFS($B$5:$B$504,B187,$I$5:$I$504,"&gt;"&amp;I187)=0,YEAR(I187)*12+MONTH(I187),999999))</f>
        <v>999999</v>
      </c>
      <c r="W187" s="58" t="n">
        <f aca="false">IF(U187="",999999,YEAR(U187)*12+MONTH(U187))</f>
        <v>999999</v>
      </c>
      <c r="X187" s="58" t="n">
        <f aca="false">IF(F187=Cadastros!$E$6,3,IF(F187=Cadastros!$E$7,6,IF(F187=Cadastros!$E$8,12,1)))</f>
        <v>1</v>
      </c>
    </row>
    <row r="188" customFormat="false" ht="15" hidden="false" customHeight="false" outlineLevel="0" collapsed="false">
      <c r="A188" s="49" t="str">
        <f aca="false">IF(B188="","",ROW()-4)</f>
        <v/>
      </c>
      <c r="B188" s="50"/>
      <c r="C188" s="50"/>
      <c r="D188" s="50"/>
      <c r="E188" s="51"/>
      <c r="F188" s="51"/>
      <c r="G188" s="51"/>
      <c r="H188" s="52"/>
      <c r="I188" s="53"/>
      <c r="J188" s="54"/>
      <c r="K188" s="53"/>
      <c r="L188" s="54"/>
      <c r="M188" s="55" t="str">
        <f aca="false">IF(L188="","",L188-J188)</f>
        <v/>
      </c>
      <c r="N188" s="56" t="str">
        <f aca="true">IF(I188="","",IF(K188&lt;&gt;"","PAGO",IF(I188&lt;TODAY(),"VENCIDO",IF(I188=TODAY(),"VENCE HOJE","A VENCER"))))</f>
        <v/>
      </c>
      <c r="O188" s="57" t="str">
        <f aca="true">IF(OR(I188="",K188&lt;&gt;""),"",I188-TODAY())</f>
        <v/>
      </c>
      <c r="P188" s="51"/>
      <c r="Q188" s="51"/>
      <c r="R188" s="51"/>
      <c r="S188" s="50"/>
      <c r="T188" s="50"/>
      <c r="U188" s="52"/>
      <c r="V188" s="58" t="n">
        <f aca="false">IF(OR(B188="",I188="",F188="",F188=Cadastros!$E$4,F188=Cadastros!$E$9),999999,IF(COUNTIFS($B$5:$B$504,B188,$I$5:$I$504,"&gt;"&amp;I188)=0,YEAR(I188)*12+MONTH(I188),999999))</f>
        <v>999999</v>
      </c>
      <c r="W188" s="58" t="n">
        <f aca="false">IF(U188="",999999,YEAR(U188)*12+MONTH(U188))</f>
        <v>999999</v>
      </c>
      <c r="X188" s="58" t="n">
        <f aca="false">IF(F188=Cadastros!$E$6,3,IF(F188=Cadastros!$E$7,6,IF(F188=Cadastros!$E$8,12,1)))</f>
        <v>1</v>
      </c>
    </row>
    <row r="189" customFormat="false" ht="15" hidden="false" customHeight="false" outlineLevel="0" collapsed="false">
      <c r="A189" s="49" t="str">
        <f aca="false">IF(B189="","",ROW()-4)</f>
        <v/>
      </c>
      <c r="B189" s="50"/>
      <c r="C189" s="50"/>
      <c r="D189" s="50"/>
      <c r="E189" s="51"/>
      <c r="F189" s="51"/>
      <c r="G189" s="51"/>
      <c r="H189" s="52"/>
      <c r="I189" s="53"/>
      <c r="J189" s="54"/>
      <c r="K189" s="53"/>
      <c r="L189" s="54"/>
      <c r="M189" s="55" t="str">
        <f aca="false">IF(L189="","",L189-J189)</f>
        <v/>
      </c>
      <c r="N189" s="56" t="str">
        <f aca="true">IF(I189="","",IF(K189&lt;&gt;"","PAGO",IF(I189&lt;TODAY(),"VENCIDO",IF(I189=TODAY(),"VENCE HOJE","A VENCER"))))</f>
        <v/>
      </c>
      <c r="O189" s="57" t="str">
        <f aca="true">IF(OR(I189="",K189&lt;&gt;""),"",I189-TODAY())</f>
        <v/>
      </c>
      <c r="P189" s="51"/>
      <c r="Q189" s="51"/>
      <c r="R189" s="51"/>
      <c r="S189" s="50"/>
      <c r="T189" s="50"/>
      <c r="U189" s="52"/>
      <c r="V189" s="58" t="n">
        <f aca="false">IF(OR(B189="",I189="",F189="",F189=Cadastros!$E$4,F189=Cadastros!$E$9),999999,IF(COUNTIFS($B$5:$B$504,B189,$I$5:$I$504,"&gt;"&amp;I189)=0,YEAR(I189)*12+MONTH(I189),999999))</f>
        <v>999999</v>
      </c>
      <c r="W189" s="58" t="n">
        <f aca="false">IF(U189="",999999,YEAR(U189)*12+MONTH(U189))</f>
        <v>999999</v>
      </c>
      <c r="X189" s="58" t="n">
        <f aca="false">IF(F189=Cadastros!$E$6,3,IF(F189=Cadastros!$E$7,6,IF(F189=Cadastros!$E$8,12,1)))</f>
        <v>1</v>
      </c>
    </row>
    <row r="190" customFormat="false" ht="15" hidden="false" customHeight="false" outlineLevel="0" collapsed="false">
      <c r="A190" s="49" t="str">
        <f aca="false">IF(B190="","",ROW()-4)</f>
        <v/>
      </c>
      <c r="B190" s="50"/>
      <c r="C190" s="50"/>
      <c r="D190" s="50"/>
      <c r="E190" s="51"/>
      <c r="F190" s="51"/>
      <c r="G190" s="51"/>
      <c r="H190" s="52"/>
      <c r="I190" s="53"/>
      <c r="J190" s="54"/>
      <c r="K190" s="53"/>
      <c r="L190" s="54"/>
      <c r="M190" s="55" t="str">
        <f aca="false">IF(L190="","",L190-J190)</f>
        <v/>
      </c>
      <c r="N190" s="56" t="str">
        <f aca="true">IF(I190="","",IF(K190&lt;&gt;"","PAGO",IF(I190&lt;TODAY(),"VENCIDO",IF(I190=TODAY(),"VENCE HOJE","A VENCER"))))</f>
        <v/>
      </c>
      <c r="O190" s="57" t="str">
        <f aca="true">IF(OR(I190="",K190&lt;&gt;""),"",I190-TODAY())</f>
        <v/>
      </c>
      <c r="P190" s="51"/>
      <c r="Q190" s="51"/>
      <c r="R190" s="51"/>
      <c r="S190" s="50"/>
      <c r="T190" s="50"/>
      <c r="U190" s="52"/>
      <c r="V190" s="58" t="n">
        <f aca="false">IF(OR(B190="",I190="",F190="",F190=Cadastros!$E$4,F190=Cadastros!$E$9),999999,IF(COUNTIFS($B$5:$B$504,B190,$I$5:$I$504,"&gt;"&amp;I190)=0,YEAR(I190)*12+MONTH(I190),999999))</f>
        <v>999999</v>
      </c>
      <c r="W190" s="58" t="n">
        <f aca="false">IF(U190="",999999,YEAR(U190)*12+MONTH(U190))</f>
        <v>999999</v>
      </c>
      <c r="X190" s="58" t="n">
        <f aca="false">IF(F190=Cadastros!$E$6,3,IF(F190=Cadastros!$E$7,6,IF(F190=Cadastros!$E$8,12,1)))</f>
        <v>1</v>
      </c>
    </row>
    <row r="191" customFormat="false" ht="15" hidden="false" customHeight="false" outlineLevel="0" collapsed="false">
      <c r="A191" s="49" t="str">
        <f aca="false">IF(B191="","",ROW()-4)</f>
        <v/>
      </c>
      <c r="B191" s="50"/>
      <c r="C191" s="50"/>
      <c r="D191" s="50"/>
      <c r="E191" s="51"/>
      <c r="F191" s="51"/>
      <c r="G191" s="51"/>
      <c r="H191" s="52"/>
      <c r="I191" s="53"/>
      <c r="J191" s="54"/>
      <c r="K191" s="53"/>
      <c r="L191" s="54"/>
      <c r="M191" s="55" t="str">
        <f aca="false">IF(L191="","",L191-J191)</f>
        <v/>
      </c>
      <c r="N191" s="56" t="str">
        <f aca="true">IF(I191="","",IF(K191&lt;&gt;"","PAGO",IF(I191&lt;TODAY(),"VENCIDO",IF(I191=TODAY(),"VENCE HOJE","A VENCER"))))</f>
        <v/>
      </c>
      <c r="O191" s="57" t="str">
        <f aca="true">IF(OR(I191="",K191&lt;&gt;""),"",I191-TODAY())</f>
        <v/>
      </c>
      <c r="P191" s="51"/>
      <c r="Q191" s="51"/>
      <c r="R191" s="51"/>
      <c r="S191" s="50"/>
      <c r="T191" s="50"/>
      <c r="U191" s="52"/>
      <c r="V191" s="58" t="n">
        <f aca="false">IF(OR(B191="",I191="",F191="",F191=Cadastros!$E$4,F191=Cadastros!$E$9),999999,IF(COUNTIFS($B$5:$B$504,B191,$I$5:$I$504,"&gt;"&amp;I191)=0,YEAR(I191)*12+MONTH(I191),999999))</f>
        <v>999999</v>
      </c>
      <c r="W191" s="58" t="n">
        <f aca="false">IF(U191="",999999,YEAR(U191)*12+MONTH(U191))</f>
        <v>999999</v>
      </c>
      <c r="X191" s="58" t="n">
        <f aca="false">IF(F191=Cadastros!$E$6,3,IF(F191=Cadastros!$E$7,6,IF(F191=Cadastros!$E$8,12,1)))</f>
        <v>1</v>
      </c>
    </row>
    <row r="192" customFormat="false" ht="15" hidden="false" customHeight="false" outlineLevel="0" collapsed="false">
      <c r="A192" s="49" t="str">
        <f aca="false">IF(B192="","",ROW()-4)</f>
        <v/>
      </c>
      <c r="B192" s="50"/>
      <c r="C192" s="50"/>
      <c r="D192" s="50"/>
      <c r="E192" s="51"/>
      <c r="F192" s="51"/>
      <c r="G192" s="51"/>
      <c r="H192" s="52"/>
      <c r="I192" s="53"/>
      <c r="J192" s="54"/>
      <c r="K192" s="53"/>
      <c r="L192" s="54"/>
      <c r="M192" s="55" t="str">
        <f aca="false">IF(L192="","",L192-J192)</f>
        <v/>
      </c>
      <c r="N192" s="56" t="str">
        <f aca="true">IF(I192="","",IF(K192&lt;&gt;"","PAGO",IF(I192&lt;TODAY(),"VENCIDO",IF(I192=TODAY(),"VENCE HOJE","A VENCER"))))</f>
        <v/>
      </c>
      <c r="O192" s="57" t="str">
        <f aca="true">IF(OR(I192="",K192&lt;&gt;""),"",I192-TODAY())</f>
        <v/>
      </c>
      <c r="P192" s="51"/>
      <c r="Q192" s="51"/>
      <c r="R192" s="51"/>
      <c r="S192" s="50"/>
      <c r="T192" s="50"/>
      <c r="U192" s="52"/>
      <c r="V192" s="58" t="n">
        <f aca="false">IF(OR(B192="",I192="",F192="",F192=Cadastros!$E$4,F192=Cadastros!$E$9),999999,IF(COUNTIFS($B$5:$B$504,B192,$I$5:$I$504,"&gt;"&amp;I192)=0,YEAR(I192)*12+MONTH(I192),999999))</f>
        <v>999999</v>
      </c>
      <c r="W192" s="58" t="n">
        <f aca="false">IF(U192="",999999,YEAR(U192)*12+MONTH(U192))</f>
        <v>999999</v>
      </c>
      <c r="X192" s="58" t="n">
        <f aca="false">IF(F192=Cadastros!$E$6,3,IF(F192=Cadastros!$E$7,6,IF(F192=Cadastros!$E$8,12,1)))</f>
        <v>1</v>
      </c>
    </row>
    <row r="193" customFormat="false" ht="15" hidden="false" customHeight="false" outlineLevel="0" collapsed="false">
      <c r="A193" s="49" t="str">
        <f aca="false">IF(B193="","",ROW()-4)</f>
        <v/>
      </c>
      <c r="B193" s="50"/>
      <c r="C193" s="50"/>
      <c r="D193" s="50"/>
      <c r="E193" s="51"/>
      <c r="F193" s="51"/>
      <c r="G193" s="51"/>
      <c r="H193" s="52"/>
      <c r="I193" s="53"/>
      <c r="J193" s="54"/>
      <c r="K193" s="53"/>
      <c r="L193" s="54"/>
      <c r="M193" s="55" t="str">
        <f aca="false">IF(L193="","",L193-J193)</f>
        <v/>
      </c>
      <c r="N193" s="56" t="str">
        <f aca="true">IF(I193="","",IF(K193&lt;&gt;"","PAGO",IF(I193&lt;TODAY(),"VENCIDO",IF(I193=TODAY(),"VENCE HOJE","A VENCER"))))</f>
        <v/>
      </c>
      <c r="O193" s="57" t="str">
        <f aca="true">IF(OR(I193="",K193&lt;&gt;""),"",I193-TODAY())</f>
        <v/>
      </c>
      <c r="P193" s="51"/>
      <c r="Q193" s="51"/>
      <c r="R193" s="51"/>
      <c r="S193" s="50"/>
      <c r="T193" s="50"/>
      <c r="U193" s="52"/>
      <c r="V193" s="58" t="n">
        <f aca="false">IF(OR(B193="",I193="",F193="",F193=Cadastros!$E$4,F193=Cadastros!$E$9),999999,IF(COUNTIFS($B$5:$B$504,B193,$I$5:$I$504,"&gt;"&amp;I193)=0,YEAR(I193)*12+MONTH(I193),999999))</f>
        <v>999999</v>
      </c>
      <c r="W193" s="58" t="n">
        <f aca="false">IF(U193="",999999,YEAR(U193)*12+MONTH(U193))</f>
        <v>999999</v>
      </c>
      <c r="X193" s="58" t="n">
        <f aca="false">IF(F193=Cadastros!$E$6,3,IF(F193=Cadastros!$E$7,6,IF(F193=Cadastros!$E$8,12,1)))</f>
        <v>1</v>
      </c>
    </row>
    <row r="194" customFormat="false" ht="15" hidden="false" customHeight="false" outlineLevel="0" collapsed="false">
      <c r="A194" s="49" t="str">
        <f aca="false">IF(B194="","",ROW()-4)</f>
        <v/>
      </c>
      <c r="B194" s="50"/>
      <c r="C194" s="50"/>
      <c r="D194" s="50"/>
      <c r="E194" s="51"/>
      <c r="F194" s="51"/>
      <c r="G194" s="51"/>
      <c r="H194" s="52"/>
      <c r="I194" s="53"/>
      <c r="J194" s="54"/>
      <c r="K194" s="53"/>
      <c r="L194" s="54"/>
      <c r="M194" s="55" t="str">
        <f aca="false">IF(L194="","",L194-J194)</f>
        <v/>
      </c>
      <c r="N194" s="56" t="str">
        <f aca="true">IF(I194="","",IF(K194&lt;&gt;"","PAGO",IF(I194&lt;TODAY(),"VENCIDO",IF(I194=TODAY(),"VENCE HOJE","A VENCER"))))</f>
        <v/>
      </c>
      <c r="O194" s="57" t="str">
        <f aca="true">IF(OR(I194="",K194&lt;&gt;""),"",I194-TODAY())</f>
        <v/>
      </c>
      <c r="P194" s="51"/>
      <c r="Q194" s="51"/>
      <c r="R194" s="51"/>
      <c r="S194" s="50"/>
      <c r="T194" s="50"/>
      <c r="U194" s="52"/>
      <c r="V194" s="58" t="n">
        <f aca="false">IF(OR(B194="",I194="",F194="",F194=Cadastros!$E$4,F194=Cadastros!$E$9),999999,IF(COUNTIFS($B$5:$B$504,B194,$I$5:$I$504,"&gt;"&amp;I194)=0,YEAR(I194)*12+MONTH(I194),999999))</f>
        <v>999999</v>
      </c>
      <c r="W194" s="58" t="n">
        <f aca="false">IF(U194="",999999,YEAR(U194)*12+MONTH(U194))</f>
        <v>999999</v>
      </c>
      <c r="X194" s="58" t="n">
        <f aca="false">IF(F194=Cadastros!$E$6,3,IF(F194=Cadastros!$E$7,6,IF(F194=Cadastros!$E$8,12,1)))</f>
        <v>1</v>
      </c>
    </row>
    <row r="195" customFormat="false" ht="15" hidden="false" customHeight="false" outlineLevel="0" collapsed="false">
      <c r="A195" s="49" t="str">
        <f aca="false">IF(B195="","",ROW()-4)</f>
        <v/>
      </c>
      <c r="B195" s="50"/>
      <c r="C195" s="50"/>
      <c r="D195" s="50"/>
      <c r="E195" s="51"/>
      <c r="F195" s="51"/>
      <c r="G195" s="51"/>
      <c r="H195" s="52"/>
      <c r="I195" s="53"/>
      <c r="J195" s="54"/>
      <c r="K195" s="53"/>
      <c r="L195" s="54"/>
      <c r="M195" s="55" t="str">
        <f aca="false">IF(L195="","",L195-J195)</f>
        <v/>
      </c>
      <c r="N195" s="56" t="str">
        <f aca="true">IF(I195="","",IF(K195&lt;&gt;"","PAGO",IF(I195&lt;TODAY(),"VENCIDO",IF(I195=TODAY(),"VENCE HOJE","A VENCER"))))</f>
        <v/>
      </c>
      <c r="O195" s="57" t="str">
        <f aca="true">IF(OR(I195="",K195&lt;&gt;""),"",I195-TODAY())</f>
        <v/>
      </c>
      <c r="P195" s="51"/>
      <c r="Q195" s="51"/>
      <c r="R195" s="51"/>
      <c r="S195" s="50"/>
      <c r="T195" s="50"/>
      <c r="U195" s="52"/>
      <c r="V195" s="58" t="n">
        <f aca="false">IF(OR(B195="",I195="",F195="",F195=Cadastros!$E$4,F195=Cadastros!$E$9),999999,IF(COUNTIFS($B$5:$B$504,B195,$I$5:$I$504,"&gt;"&amp;I195)=0,YEAR(I195)*12+MONTH(I195),999999))</f>
        <v>999999</v>
      </c>
      <c r="W195" s="58" t="n">
        <f aca="false">IF(U195="",999999,YEAR(U195)*12+MONTH(U195))</f>
        <v>999999</v>
      </c>
      <c r="X195" s="58" t="n">
        <f aca="false">IF(F195=Cadastros!$E$6,3,IF(F195=Cadastros!$E$7,6,IF(F195=Cadastros!$E$8,12,1)))</f>
        <v>1</v>
      </c>
    </row>
    <row r="196" customFormat="false" ht="15" hidden="false" customHeight="false" outlineLevel="0" collapsed="false">
      <c r="A196" s="49" t="str">
        <f aca="false">IF(B196="","",ROW()-4)</f>
        <v/>
      </c>
      <c r="B196" s="50"/>
      <c r="C196" s="50"/>
      <c r="D196" s="50"/>
      <c r="E196" s="51"/>
      <c r="F196" s="51"/>
      <c r="G196" s="51"/>
      <c r="H196" s="52"/>
      <c r="I196" s="53"/>
      <c r="J196" s="54"/>
      <c r="K196" s="53"/>
      <c r="L196" s="54"/>
      <c r="M196" s="55" t="str">
        <f aca="false">IF(L196="","",L196-J196)</f>
        <v/>
      </c>
      <c r="N196" s="56" t="str">
        <f aca="true">IF(I196="","",IF(K196&lt;&gt;"","PAGO",IF(I196&lt;TODAY(),"VENCIDO",IF(I196=TODAY(),"VENCE HOJE","A VENCER"))))</f>
        <v/>
      </c>
      <c r="O196" s="57" t="str">
        <f aca="true">IF(OR(I196="",K196&lt;&gt;""),"",I196-TODAY())</f>
        <v/>
      </c>
      <c r="P196" s="51"/>
      <c r="Q196" s="51"/>
      <c r="R196" s="51"/>
      <c r="S196" s="50"/>
      <c r="T196" s="50"/>
      <c r="U196" s="52"/>
      <c r="V196" s="58" t="n">
        <f aca="false">IF(OR(B196="",I196="",F196="",F196=Cadastros!$E$4,F196=Cadastros!$E$9),999999,IF(COUNTIFS($B$5:$B$504,B196,$I$5:$I$504,"&gt;"&amp;I196)=0,YEAR(I196)*12+MONTH(I196),999999))</f>
        <v>999999</v>
      </c>
      <c r="W196" s="58" t="n">
        <f aca="false">IF(U196="",999999,YEAR(U196)*12+MONTH(U196))</f>
        <v>999999</v>
      </c>
      <c r="X196" s="58" t="n">
        <f aca="false">IF(F196=Cadastros!$E$6,3,IF(F196=Cadastros!$E$7,6,IF(F196=Cadastros!$E$8,12,1)))</f>
        <v>1</v>
      </c>
    </row>
    <row r="197" customFormat="false" ht="15" hidden="false" customHeight="false" outlineLevel="0" collapsed="false">
      <c r="A197" s="49" t="str">
        <f aca="false">IF(B197="","",ROW()-4)</f>
        <v/>
      </c>
      <c r="B197" s="50"/>
      <c r="C197" s="50"/>
      <c r="D197" s="50"/>
      <c r="E197" s="51"/>
      <c r="F197" s="51"/>
      <c r="G197" s="51"/>
      <c r="H197" s="52"/>
      <c r="I197" s="53"/>
      <c r="J197" s="54"/>
      <c r="K197" s="53"/>
      <c r="L197" s="54"/>
      <c r="M197" s="55" t="str">
        <f aca="false">IF(L197="","",L197-J197)</f>
        <v/>
      </c>
      <c r="N197" s="56" t="str">
        <f aca="true">IF(I197="","",IF(K197&lt;&gt;"","PAGO",IF(I197&lt;TODAY(),"VENCIDO",IF(I197=TODAY(),"VENCE HOJE","A VENCER"))))</f>
        <v/>
      </c>
      <c r="O197" s="57" t="str">
        <f aca="true">IF(OR(I197="",K197&lt;&gt;""),"",I197-TODAY())</f>
        <v/>
      </c>
      <c r="P197" s="51"/>
      <c r="Q197" s="51"/>
      <c r="R197" s="51"/>
      <c r="S197" s="50"/>
      <c r="T197" s="50"/>
      <c r="U197" s="52"/>
      <c r="V197" s="58" t="n">
        <f aca="false">IF(OR(B197="",I197="",F197="",F197=Cadastros!$E$4,F197=Cadastros!$E$9),999999,IF(COUNTIFS($B$5:$B$504,B197,$I$5:$I$504,"&gt;"&amp;I197)=0,YEAR(I197)*12+MONTH(I197),999999))</f>
        <v>999999</v>
      </c>
      <c r="W197" s="58" t="n">
        <f aca="false">IF(U197="",999999,YEAR(U197)*12+MONTH(U197))</f>
        <v>999999</v>
      </c>
      <c r="X197" s="58" t="n">
        <f aca="false">IF(F197=Cadastros!$E$6,3,IF(F197=Cadastros!$E$7,6,IF(F197=Cadastros!$E$8,12,1)))</f>
        <v>1</v>
      </c>
    </row>
    <row r="198" customFormat="false" ht="15" hidden="false" customHeight="false" outlineLevel="0" collapsed="false">
      <c r="A198" s="49" t="str">
        <f aca="false">IF(B198="","",ROW()-4)</f>
        <v/>
      </c>
      <c r="B198" s="50"/>
      <c r="C198" s="50"/>
      <c r="D198" s="50"/>
      <c r="E198" s="51"/>
      <c r="F198" s="51"/>
      <c r="G198" s="51"/>
      <c r="H198" s="52"/>
      <c r="I198" s="53"/>
      <c r="J198" s="54"/>
      <c r="K198" s="53"/>
      <c r="L198" s="54"/>
      <c r="M198" s="55" t="str">
        <f aca="false">IF(L198="","",L198-J198)</f>
        <v/>
      </c>
      <c r="N198" s="56" t="str">
        <f aca="true">IF(I198="","",IF(K198&lt;&gt;"","PAGO",IF(I198&lt;TODAY(),"VENCIDO",IF(I198=TODAY(),"VENCE HOJE","A VENCER"))))</f>
        <v/>
      </c>
      <c r="O198" s="57" t="str">
        <f aca="true">IF(OR(I198="",K198&lt;&gt;""),"",I198-TODAY())</f>
        <v/>
      </c>
      <c r="P198" s="51"/>
      <c r="Q198" s="51"/>
      <c r="R198" s="51"/>
      <c r="S198" s="50"/>
      <c r="T198" s="50"/>
      <c r="U198" s="52"/>
      <c r="V198" s="58" t="n">
        <f aca="false">IF(OR(B198="",I198="",F198="",F198=Cadastros!$E$4,F198=Cadastros!$E$9),999999,IF(COUNTIFS($B$5:$B$504,B198,$I$5:$I$504,"&gt;"&amp;I198)=0,YEAR(I198)*12+MONTH(I198),999999))</f>
        <v>999999</v>
      </c>
      <c r="W198" s="58" t="n">
        <f aca="false">IF(U198="",999999,YEAR(U198)*12+MONTH(U198))</f>
        <v>999999</v>
      </c>
      <c r="X198" s="58" t="n">
        <f aca="false">IF(F198=Cadastros!$E$6,3,IF(F198=Cadastros!$E$7,6,IF(F198=Cadastros!$E$8,12,1)))</f>
        <v>1</v>
      </c>
    </row>
    <row r="199" customFormat="false" ht="15" hidden="false" customHeight="false" outlineLevel="0" collapsed="false">
      <c r="A199" s="49" t="str">
        <f aca="false">IF(B199="","",ROW()-4)</f>
        <v/>
      </c>
      <c r="B199" s="50"/>
      <c r="C199" s="50"/>
      <c r="D199" s="50"/>
      <c r="E199" s="51"/>
      <c r="F199" s="51"/>
      <c r="G199" s="51"/>
      <c r="H199" s="52"/>
      <c r="I199" s="53"/>
      <c r="J199" s="54"/>
      <c r="K199" s="53"/>
      <c r="L199" s="54"/>
      <c r="M199" s="55" t="str">
        <f aca="false">IF(L199="","",L199-J199)</f>
        <v/>
      </c>
      <c r="N199" s="56" t="str">
        <f aca="true">IF(I199="","",IF(K199&lt;&gt;"","PAGO",IF(I199&lt;TODAY(),"VENCIDO",IF(I199=TODAY(),"VENCE HOJE","A VENCER"))))</f>
        <v/>
      </c>
      <c r="O199" s="57" t="str">
        <f aca="true">IF(OR(I199="",K199&lt;&gt;""),"",I199-TODAY())</f>
        <v/>
      </c>
      <c r="P199" s="51"/>
      <c r="Q199" s="51"/>
      <c r="R199" s="51"/>
      <c r="S199" s="50"/>
      <c r="T199" s="50"/>
      <c r="U199" s="52"/>
      <c r="V199" s="58" t="n">
        <f aca="false">IF(OR(B199="",I199="",F199="",F199=Cadastros!$E$4,F199=Cadastros!$E$9),999999,IF(COUNTIFS($B$5:$B$504,B199,$I$5:$I$504,"&gt;"&amp;I199)=0,YEAR(I199)*12+MONTH(I199),999999))</f>
        <v>999999</v>
      </c>
      <c r="W199" s="58" t="n">
        <f aca="false">IF(U199="",999999,YEAR(U199)*12+MONTH(U199))</f>
        <v>999999</v>
      </c>
      <c r="X199" s="58" t="n">
        <f aca="false">IF(F199=Cadastros!$E$6,3,IF(F199=Cadastros!$E$7,6,IF(F199=Cadastros!$E$8,12,1)))</f>
        <v>1</v>
      </c>
    </row>
    <row r="200" customFormat="false" ht="15" hidden="false" customHeight="false" outlineLevel="0" collapsed="false">
      <c r="A200" s="49" t="str">
        <f aca="false">IF(B200="","",ROW()-4)</f>
        <v/>
      </c>
      <c r="B200" s="50"/>
      <c r="C200" s="50"/>
      <c r="D200" s="50"/>
      <c r="E200" s="51"/>
      <c r="F200" s="51"/>
      <c r="G200" s="51"/>
      <c r="H200" s="52"/>
      <c r="I200" s="53"/>
      <c r="J200" s="54"/>
      <c r="K200" s="53"/>
      <c r="L200" s="54"/>
      <c r="M200" s="55" t="str">
        <f aca="false">IF(L200="","",L200-J200)</f>
        <v/>
      </c>
      <c r="N200" s="56" t="str">
        <f aca="true">IF(I200="","",IF(K200&lt;&gt;"","PAGO",IF(I200&lt;TODAY(),"VENCIDO",IF(I200=TODAY(),"VENCE HOJE","A VENCER"))))</f>
        <v/>
      </c>
      <c r="O200" s="57" t="str">
        <f aca="true">IF(OR(I200="",K200&lt;&gt;""),"",I200-TODAY())</f>
        <v/>
      </c>
      <c r="P200" s="51"/>
      <c r="Q200" s="51"/>
      <c r="R200" s="51"/>
      <c r="S200" s="50"/>
      <c r="T200" s="50"/>
      <c r="U200" s="52"/>
      <c r="V200" s="58" t="n">
        <f aca="false">IF(OR(B200="",I200="",F200="",F200=Cadastros!$E$4,F200=Cadastros!$E$9),999999,IF(COUNTIFS($B$5:$B$504,B200,$I$5:$I$504,"&gt;"&amp;I200)=0,YEAR(I200)*12+MONTH(I200),999999))</f>
        <v>999999</v>
      </c>
      <c r="W200" s="58" t="n">
        <f aca="false">IF(U200="",999999,YEAR(U200)*12+MONTH(U200))</f>
        <v>999999</v>
      </c>
      <c r="X200" s="58" t="n">
        <f aca="false">IF(F200=Cadastros!$E$6,3,IF(F200=Cadastros!$E$7,6,IF(F200=Cadastros!$E$8,12,1)))</f>
        <v>1</v>
      </c>
    </row>
    <row r="201" customFormat="false" ht="15" hidden="false" customHeight="false" outlineLevel="0" collapsed="false">
      <c r="A201" s="49" t="str">
        <f aca="false">IF(B201="","",ROW()-4)</f>
        <v/>
      </c>
      <c r="B201" s="50"/>
      <c r="C201" s="50"/>
      <c r="D201" s="50"/>
      <c r="E201" s="51"/>
      <c r="F201" s="51"/>
      <c r="G201" s="51"/>
      <c r="H201" s="52"/>
      <c r="I201" s="53"/>
      <c r="J201" s="54"/>
      <c r="K201" s="53"/>
      <c r="L201" s="54"/>
      <c r="M201" s="55" t="str">
        <f aca="false">IF(L201="","",L201-J201)</f>
        <v/>
      </c>
      <c r="N201" s="56" t="str">
        <f aca="true">IF(I201="","",IF(K201&lt;&gt;"","PAGO",IF(I201&lt;TODAY(),"VENCIDO",IF(I201=TODAY(),"VENCE HOJE","A VENCER"))))</f>
        <v/>
      </c>
      <c r="O201" s="57" t="str">
        <f aca="true">IF(OR(I201="",K201&lt;&gt;""),"",I201-TODAY())</f>
        <v/>
      </c>
      <c r="P201" s="51"/>
      <c r="Q201" s="51"/>
      <c r="R201" s="51"/>
      <c r="S201" s="50"/>
      <c r="T201" s="50"/>
      <c r="U201" s="52"/>
      <c r="V201" s="58" t="n">
        <f aca="false">IF(OR(B201="",I201="",F201="",F201=Cadastros!$E$4,F201=Cadastros!$E$9),999999,IF(COUNTIFS($B$5:$B$504,B201,$I$5:$I$504,"&gt;"&amp;I201)=0,YEAR(I201)*12+MONTH(I201),999999))</f>
        <v>999999</v>
      </c>
      <c r="W201" s="58" t="n">
        <f aca="false">IF(U201="",999999,YEAR(U201)*12+MONTH(U201))</f>
        <v>999999</v>
      </c>
      <c r="X201" s="58" t="n">
        <f aca="false">IF(F201=Cadastros!$E$6,3,IF(F201=Cadastros!$E$7,6,IF(F201=Cadastros!$E$8,12,1)))</f>
        <v>1</v>
      </c>
    </row>
    <row r="202" customFormat="false" ht="15" hidden="false" customHeight="false" outlineLevel="0" collapsed="false">
      <c r="A202" s="49" t="str">
        <f aca="false">IF(B202="","",ROW()-4)</f>
        <v/>
      </c>
      <c r="B202" s="50"/>
      <c r="C202" s="50"/>
      <c r="D202" s="50"/>
      <c r="E202" s="51"/>
      <c r="F202" s="51"/>
      <c r="G202" s="51"/>
      <c r="H202" s="52"/>
      <c r="I202" s="53"/>
      <c r="J202" s="54"/>
      <c r="K202" s="53"/>
      <c r="L202" s="54"/>
      <c r="M202" s="55" t="str">
        <f aca="false">IF(L202="","",L202-J202)</f>
        <v/>
      </c>
      <c r="N202" s="56" t="str">
        <f aca="true">IF(I202="","",IF(K202&lt;&gt;"","PAGO",IF(I202&lt;TODAY(),"VENCIDO",IF(I202=TODAY(),"VENCE HOJE","A VENCER"))))</f>
        <v/>
      </c>
      <c r="O202" s="57" t="str">
        <f aca="true">IF(OR(I202="",K202&lt;&gt;""),"",I202-TODAY())</f>
        <v/>
      </c>
      <c r="P202" s="51"/>
      <c r="Q202" s="51"/>
      <c r="R202" s="51"/>
      <c r="S202" s="50"/>
      <c r="T202" s="50"/>
      <c r="U202" s="52"/>
      <c r="V202" s="58" t="n">
        <f aca="false">IF(OR(B202="",I202="",F202="",F202=Cadastros!$E$4,F202=Cadastros!$E$9),999999,IF(COUNTIFS($B$5:$B$504,B202,$I$5:$I$504,"&gt;"&amp;I202)=0,YEAR(I202)*12+MONTH(I202),999999))</f>
        <v>999999</v>
      </c>
      <c r="W202" s="58" t="n">
        <f aca="false">IF(U202="",999999,YEAR(U202)*12+MONTH(U202))</f>
        <v>999999</v>
      </c>
      <c r="X202" s="58" t="n">
        <f aca="false">IF(F202=Cadastros!$E$6,3,IF(F202=Cadastros!$E$7,6,IF(F202=Cadastros!$E$8,12,1)))</f>
        <v>1</v>
      </c>
    </row>
    <row r="203" customFormat="false" ht="15" hidden="false" customHeight="false" outlineLevel="0" collapsed="false">
      <c r="A203" s="49" t="str">
        <f aca="false">IF(B203="","",ROW()-4)</f>
        <v/>
      </c>
      <c r="B203" s="50"/>
      <c r="C203" s="50"/>
      <c r="D203" s="50"/>
      <c r="E203" s="51"/>
      <c r="F203" s="51"/>
      <c r="G203" s="51"/>
      <c r="H203" s="52"/>
      <c r="I203" s="53"/>
      <c r="J203" s="54"/>
      <c r="K203" s="53"/>
      <c r="L203" s="54"/>
      <c r="M203" s="55" t="str">
        <f aca="false">IF(L203="","",L203-J203)</f>
        <v/>
      </c>
      <c r="N203" s="56" t="str">
        <f aca="true">IF(I203="","",IF(K203&lt;&gt;"","PAGO",IF(I203&lt;TODAY(),"VENCIDO",IF(I203=TODAY(),"VENCE HOJE","A VENCER"))))</f>
        <v/>
      </c>
      <c r="O203" s="57" t="str">
        <f aca="true">IF(OR(I203="",K203&lt;&gt;""),"",I203-TODAY())</f>
        <v/>
      </c>
      <c r="P203" s="51"/>
      <c r="Q203" s="51"/>
      <c r="R203" s="51"/>
      <c r="S203" s="50"/>
      <c r="T203" s="50"/>
      <c r="U203" s="52"/>
      <c r="V203" s="58" t="n">
        <f aca="false">IF(OR(B203="",I203="",F203="",F203=Cadastros!$E$4,F203=Cadastros!$E$9),999999,IF(COUNTIFS($B$5:$B$504,B203,$I$5:$I$504,"&gt;"&amp;I203)=0,YEAR(I203)*12+MONTH(I203),999999))</f>
        <v>999999</v>
      </c>
      <c r="W203" s="58" t="n">
        <f aca="false">IF(U203="",999999,YEAR(U203)*12+MONTH(U203))</f>
        <v>999999</v>
      </c>
      <c r="X203" s="58" t="n">
        <f aca="false">IF(F203=Cadastros!$E$6,3,IF(F203=Cadastros!$E$7,6,IF(F203=Cadastros!$E$8,12,1)))</f>
        <v>1</v>
      </c>
    </row>
    <row r="204" customFormat="false" ht="15" hidden="false" customHeight="false" outlineLevel="0" collapsed="false">
      <c r="A204" s="49" t="str">
        <f aca="false">IF(B204="","",ROW()-4)</f>
        <v/>
      </c>
      <c r="B204" s="50"/>
      <c r="C204" s="50"/>
      <c r="D204" s="50"/>
      <c r="E204" s="51"/>
      <c r="F204" s="51"/>
      <c r="G204" s="51"/>
      <c r="H204" s="52"/>
      <c r="I204" s="53"/>
      <c r="J204" s="54"/>
      <c r="K204" s="53"/>
      <c r="L204" s="54"/>
      <c r="M204" s="55" t="str">
        <f aca="false">IF(L204="","",L204-J204)</f>
        <v/>
      </c>
      <c r="N204" s="56" t="str">
        <f aca="true">IF(I204="","",IF(K204&lt;&gt;"","PAGO",IF(I204&lt;TODAY(),"VENCIDO",IF(I204=TODAY(),"VENCE HOJE","A VENCER"))))</f>
        <v/>
      </c>
      <c r="O204" s="57" t="str">
        <f aca="true">IF(OR(I204="",K204&lt;&gt;""),"",I204-TODAY())</f>
        <v/>
      </c>
      <c r="P204" s="51"/>
      <c r="Q204" s="51"/>
      <c r="R204" s="51"/>
      <c r="S204" s="50"/>
      <c r="T204" s="50"/>
      <c r="U204" s="52"/>
      <c r="V204" s="58" t="n">
        <f aca="false">IF(OR(B204="",I204="",F204="",F204=Cadastros!$E$4,F204=Cadastros!$E$9),999999,IF(COUNTIFS($B$5:$B$504,B204,$I$5:$I$504,"&gt;"&amp;I204)=0,YEAR(I204)*12+MONTH(I204),999999))</f>
        <v>999999</v>
      </c>
      <c r="W204" s="58" t="n">
        <f aca="false">IF(U204="",999999,YEAR(U204)*12+MONTH(U204))</f>
        <v>999999</v>
      </c>
      <c r="X204" s="58" t="n">
        <f aca="false">IF(F204=Cadastros!$E$6,3,IF(F204=Cadastros!$E$7,6,IF(F204=Cadastros!$E$8,12,1)))</f>
        <v>1</v>
      </c>
    </row>
    <row r="205" customFormat="false" ht="15" hidden="false" customHeight="false" outlineLevel="0" collapsed="false">
      <c r="A205" s="49" t="str">
        <f aca="false">IF(B205="","",ROW()-4)</f>
        <v/>
      </c>
      <c r="B205" s="50"/>
      <c r="C205" s="50"/>
      <c r="D205" s="50"/>
      <c r="E205" s="51"/>
      <c r="F205" s="51"/>
      <c r="G205" s="51"/>
      <c r="H205" s="52"/>
      <c r="I205" s="53"/>
      <c r="J205" s="54"/>
      <c r="K205" s="53"/>
      <c r="L205" s="54"/>
      <c r="M205" s="55" t="str">
        <f aca="false">IF(L205="","",L205-J205)</f>
        <v/>
      </c>
      <c r="N205" s="56" t="str">
        <f aca="true">IF(I205="","",IF(K205&lt;&gt;"","PAGO",IF(I205&lt;TODAY(),"VENCIDO",IF(I205=TODAY(),"VENCE HOJE","A VENCER"))))</f>
        <v/>
      </c>
      <c r="O205" s="57" t="str">
        <f aca="true">IF(OR(I205="",K205&lt;&gt;""),"",I205-TODAY())</f>
        <v/>
      </c>
      <c r="P205" s="51"/>
      <c r="Q205" s="51"/>
      <c r="R205" s="51"/>
      <c r="S205" s="50"/>
      <c r="T205" s="50"/>
      <c r="U205" s="52"/>
      <c r="V205" s="58" t="n">
        <f aca="false">IF(OR(B205="",I205="",F205="",F205=Cadastros!$E$4,F205=Cadastros!$E$9),999999,IF(COUNTIFS($B$5:$B$504,B205,$I$5:$I$504,"&gt;"&amp;I205)=0,YEAR(I205)*12+MONTH(I205),999999))</f>
        <v>999999</v>
      </c>
      <c r="W205" s="58" t="n">
        <f aca="false">IF(U205="",999999,YEAR(U205)*12+MONTH(U205))</f>
        <v>999999</v>
      </c>
      <c r="X205" s="58" t="n">
        <f aca="false">IF(F205=Cadastros!$E$6,3,IF(F205=Cadastros!$E$7,6,IF(F205=Cadastros!$E$8,12,1)))</f>
        <v>1</v>
      </c>
    </row>
    <row r="206" customFormat="false" ht="15" hidden="false" customHeight="false" outlineLevel="0" collapsed="false">
      <c r="A206" s="49" t="str">
        <f aca="false">IF(B206="","",ROW()-4)</f>
        <v/>
      </c>
      <c r="B206" s="50"/>
      <c r="C206" s="50"/>
      <c r="D206" s="50"/>
      <c r="E206" s="51"/>
      <c r="F206" s="51"/>
      <c r="G206" s="51"/>
      <c r="H206" s="52"/>
      <c r="I206" s="53"/>
      <c r="J206" s="54"/>
      <c r="K206" s="53"/>
      <c r="L206" s="54"/>
      <c r="M206" s="55" t="str">
        <f aca="false">IF(L206="","",L206-J206)</f>
        <v/>
      </c>
      <c r="N206" s="56" t="str">
        <f aca="true">IF(I206="","",IF(K206&lt;&gt;"","PAGO",IF(I206&lt;TODAY(),"VENCIDO",IF(I206=TODAY(),"VENCE HOJE","A VENCER"))))</f>
        <v/>
      </c>
      <c r="O206" s="57" t="str">
        <f aca="true">IF(OR(I206="",K206&lt;&gt;""),"",I206-TODAY())</f>
        <v/>
      </c>
      <c r="P206" s="51"/>
      <c r="Q206" s="51"/>
      <c r="R206" s="51"/>
      <c r="S206" s="50"/>
      <c r="T206" s="50"/>
      <c r="U206" s="52"/>
      <c r="V206" s="58" t="n">
        <f aca="false">IF(OR(B206="",I206="",F206="",F206=Cadastros!$E$4,F206=Cadastros!$E$9),999999,IF(COUNTIFS($B$5:$B$504,B206,$I$5:$I$504,"&gt;"&amp;I206)=0,YEAR(I206)*12+MONTH(I206),999999))</f>
        <v>999999</v>
      </c>
      <c r="W206" s="58" t="n">
        <f aca="false">IF(U206="",999999,YEAR(U206)*12+MONTH(U206))</f>
        <v>999999</v>
      </c>
      <c r="X206" s="58" t="n">
        <f aca="false">IF(F206=Cadastros!$E$6,3,IF(F206=Cadastros!$E$7,6,IF(F206=Cadastros!$E$8,12,1)))</f>
        <v>1</v>
      </c>
    </row>
    <row r="207" customFormat="false" ht="15" hidden="false" customHeight="false" outlineLevel="0" collapsed="false">
      <c r="A207" s="49" t="str">
        <f aca="false">IF(B207="","",ROW()-4)</f>
        <v/>
      </c>
      <c r="B207" s="50"/>
      <c r="C207" s="50"/>
      <c r="D207" s="50"/>
      <c r="E207" s="51"/>
      <c r="F207" s="51"/>
      <c r="G207" s="51"/>
      <c r="H207" s="52"/>
      <c r="I207" s="53"/>
      <c r="J207" s="54"/>
      <c r="K207" s="53"/>
      <c r="L207" s="54"/>
      <c r="M207" s="55" t="str">
        <f aca="false">IF(L207="","",L207-J207)</f>
        <v/>
      </c>
      <c r="N207" s="56" t="str">
        <f aca="true">IF(I207="","",IF(K207&lt;&gt;"","PAGO",IF(I207&lt;TODAY(),"VENCIDO",IF(I207=TODAY(),"VENCE HOJE","A VENCER"))))</f>
        <v/>
      </c>
      <c r="O207" s="57" t="str">
        <f aca="true">IF(OR(I207="",K207&lt;&gt;""),"",I207-TODAY())</f>
        <v/>
      </c>
      <c r="P207" s="51"/>
      <c r="Q207" s="51"/>
      <c r="R207" s="51"/>
      <c r="S207" s="50"/>
      <c r="T207" s="50"/>
      <c r="U207" s="52"/>
      <c r="V207" s="58" t="n">
        <f aca="false">IF(OR(B207="",I207="",F207="",F207=Cadastros!$E$4,F207=Cadastros!$E$9),999999,IF(COUNTIFS($B$5:$B$504,B207,$I$5:$I$504,"&gt;"&amp;I207)=0,YEAR(I207)*12+MONTH(I207),999999))</f>
        <v>999999</v>
      </c>
      <c r="W207" s="58" t="n">
        <f aca="false">IF(U207="",999999,YEAR(U207)*12+MONTH(U207))</f>
        <v>999999</v>
      </c>
      <c r="X207" s="58" t="n">
        <f aca="false">IF(F207=Cadastros!$E$6,3,IF(F207=Cadastros!$E$7,6,IF(F207=Cadastros!$E$8,12,1)))</f>
        <v>1</v>
      </c>
    </row>
    <row r="208" customFormat="false" ht="15" hidden="false" customHeight="false" outlineLevel="0" collapsed="false">
      <c r="A208" s="49" t="str">
        <f aca="false">IF(B208="","",ROW()-4)</f>
        <v/>
      </c>
      <c r="B208" s="50"/>
      <c r="C208" s="50"/>
      <c r="D208" s="50"/>
      <c r="E208" s="51"/>
      <c r="F208" s="51"/>
      <c r="G208" s="51"/>
      <c r="H208" s="52"/>
      <c r="I208" s="53"/>
      <c r="J208" s="54"/>
      <c r="K208" s="53"/>
      <c r="L208" s="54"/>
      <c r="M208" s="55" t="str">
        <f aca="false">IF(L208="","",L208-J208)</f>
        <v/>
      </c>
      <c r="N208" s="56" t="str">
        <f aca="true">IF(I208="","",IF(K208&lt;&gt;"","PAGO",IF(I208&lt;TODAY(),"VENCIDO",IF(I208=TODAY(),"VENCE HOJE","A VENCER"))))</f>
        <v/>
      </c>
      <c r="O208" s="57" t="str">
        <f aca="true">IF(OR(I208="",K208&lt;&gt;""),"",I208-TODAY())</f>
        <v/>
      </c>
      <c r="P208" s="51"/>
      <c r="Q208" s="51"/>
      <c r="R208" s="51"/>
      <c r="S208" s="50"/>
      <c r="T208" s="50"/>
      <c r="U208" s="52"/>
      <c r="V208" s="58" t="n">
        <f aca="false">IF(OR(B208="",I208="",F208="",F208=Cadastros!$E$4,F208=Cadastros!$E$9),999999,IF(COUNTIFS($B$5:$B$504,B208,$I$5:$I$504,"&gt;"&amp;I208)=0,YEAR(I208)*12+MONTH(I208),999999))</f>
        <v>999999</v>
      </c>
      <c r="W208" s="58" t="n">
        <f aca="false">IF(U208="",999999,YEAR(U208)*12+MONTH(U208))</f>
        <v>999999</v>
      </c>
      <c r="X208" s="58" t="n">
        <f aca="false">IF(F208=Cadastros!$E$6,3,IF(F208=Cadastros!$E$7,6,IF(F208=Cadastros!$E$8,12,1)))</f>
        <v>1</v>
      </c>
    </row>
    <row r="209" customFormat="false" ht="15" hidden="false" customHeight="false" outlineLevel="0" collapsed="false">
      <c r="A209" s="49" t="str">
        <f aca="false">IF(B209="","",ROW()-4)</f>
        <v/>
      </c>
      <c r="B209" s="50"/>
      <c r="C209" s="50"/>
      <c r="D209" s="50"/>
      <c r="E209" s="51"/>
      <c r="F209" s="51"/>
      <c r="G209" s="51"/>
      <c r="H209" s="52"/>
      <c r="I209" s="53"/>
      <c r="J209" s="54"/>
      <c r="K209" s="53"/>
      <c r="L209" s="54"/>
      <c r="M209" s="55" t="str">
        <f aca="false">IF(L209="","",L209-J209)</f>
        <v/>
      </c>
      <c r="N209" s="56" t="str">
        <f aca="true">IF(I209="","",IF(K209&lt;&gt;"","PAGO",IF(I209&lt;TODAY(),"VENCIDO",IF(I209=TODAY(),"VENCE HOJE","A VENCER"))))</f>
        <v/>
      </c>
      <c r="O209" s="57" t="str">
        <f aca="true">IF(OR(I209="",K209&lt;&gt;""),"",I209-TODAY())</f>
        <v/>
      </c>
      <c r="P209" s="51"/>
      <c r="Q209" s="51"/>
      <c r="R209" s="51"/>
      <c r="S209" s="50"/>
      <c r="T209" s="50"/>
      <c r="U209" s="52"/>
      <c r="V209" s="58" t="n">
        <f aca="false">IF(OR(B209="",I209="",F209="",F209=Cadastros!$E$4,F209=Cadastros!$E$9),999999,IF(COUNTIFS($B$5:$B$504,B209,$I$5:$I$504,"&gt;"&amp;I209)=0,YEAR(I209)*12+MONTH(I209),999999))</f>
        <v>999999</v>
      </c>
      <c r="W209" s="58" t="n">
        <f aca="false">IF(U209="",999999,YEAR(U209)*12+MONTH(U209))</f>
        <v>999999</v>
      </c>
      <c r="X209" s="58" t="n">
        <f aca="false">IF(F209=Cadastros!$E$6,3,IF(F209=Cadastros!$E$7,6,IF(F209=Cadastros!$E$8,12,1)))</f>
        <v>1</v>
      </c>
    </row>
    <row r="210" customFormat="false" ht="15" hidden="false" customHeight="false" outlineLevel="0" collapsed="false">
      <c r="A210" s="49" t="str">
        <f aca="false">IF(B210="","",ROW()-4)</f>
        <v/>
      </c>
      <c r="B210" s="50"/>
      <c r="C210" s="50"/>
      <c r="D210" s="50"/>
      <c r="E210" s="51"/>
      <c r="F210" s="51"/>
      <c r="G210" s="51"/>
      <c r="H210" s="52"/>
      <c r="I210" s="53"/>
      <c r="J210" s="54"/>
      <c r="K210" s="53"/>
      <c r="L210" s="54"/>
      <c r="M210" s="55" t="str">
        <f aca="false">IF(L210="","",L210-J210)</f>
        <v/>
      </c>
      <c r="N210" s="56" t="str">
        <f aca="true">IF(I210="","",IF(K210&lt;&gt;"","PAGO",IF(I210&lt;TODAY(),"VENCIDO",IF(I210=TODAY(),"VENCE HOJE","A VENCER"))))</f>
        <v/>
      </c>
      <c r="O210" s="57" t="str">
        <f aca="true">IF(OR(I210="",K210&lt;&gt;""),"",I210-TODAY())</f>
        <v/>
      </c>
      <c r="P210" s="51"/>
      <c r="Q210" s="51"/>
      <c r="R210" s="51"/>
      <c r="S210" s="50"/>
      <c r="T210" s="50"/>
      <c r="U210" s="52"/>
      <c r="V210" s="58" t="n">
        <f aca="false">IF(OR(B210="",I210="",F210="",F210=Cadastros!$E$4,F210=Cadastros!$E$9),999999,IF(COUNTIFS($B$5:$B$504,B210,$I$5:$I$504,"&gt;"&amp;I210)=0,YEAR(I210)*12+MONTH(I210),999999))</f>
        <v>999999</v>
      </c>
      <c r="W210" s="58" t="n">
        <f aca="false">IF(U210="",999999,YEAR(U210)*12+MONTH(U210))</f>
        <v>999999</v>
      </c>
      <c r="X210" s="58" t="n">
        <f aca="false">IF(F210=Cadastros!$E$6,3,IF(F210=Cadastros!$E$7,6,IF(F210=Cadastros!$E$8,12,1)))</f>
        <v>1</v>
      </c>
    </row>
    <row r="211" customFormat="false" ht="15" hidden="false" customHeight="false" outlineLevel="0" collapsed="false">
      <c r="A211" s="49" t="str">
        <f aca="false">IF(B211="","",ROW()-4)</f>
        <v/>
      </c>
      <c r="B211" s="50"/>
      <c r="C211" s="50"/>
      <c r="D211" s="50"/>
      <c r="E211" s="51"/>
      <c r="F211" s="51"/>
      <c r="G211" s="51"/>
      <c r="H211" s="52"/>
      <c r="I211" s="53"/>
      <c r="J211" s="54"/>
      <c r="K211" s="53"/>
      <c r="L211" s="54"/>
      <c r="M211" s="55" t="str">
        <f aca="false">IF(L211="","",L211-J211)</f>
        <v/>
      </c>
      <c r="N211" s="56" t="str">
        <f aca="true">IF(I211="","",IF(K211&lt;&gt;"","PAGO",IF(I211&lt;TODAY(),"VENCIDO",IF(I211=TODAY(),"VENCE HOJE","A VENCER"))))</f>
        <v/>
      </c>
      <c r="O211" s="57" t="str">
        <f aca="true">IF(OR(I211="",K211&lt;&gt;""),"",I211-TODAY())</f>
        <v/>
      </c>
      <c r="P211" s="51"/>
      <c r="Q211" s="51"/>
      <c r="R211" s="51"/>
      <c r="S211" s="50"/>
      <c r="T211" s="50"/>
      <c r="U211" s="52"/>
      <c r="V211" s="58" t="n">
        <f aca="false">IF(OR(B211="",I211="",F211="",F211=Cadastros!$E$4,F211=Cadastros!$E$9),999999,IF(COUNTIFS($B$5:$B$504,B211,$I$5:$I$504,"&gt;"&amp;I211)=0,YEAR(I211)*12+MONTH(I211),999999))</f>
        <v>999999</v>
      </c>
      <c r="W211" s="58" t="n">
        <f aca="false">IF(U211="",999999,YEAR(U211)*12+MONTH(U211))</f>
        <v>999999</v>
      </c>
      <c r="X211" s="58" t="n">
        <f aca="false">IF(F211=Cadastros!$E$6,3,IF(F211=Cadastros!$E$7,6,IF(F211=Cadastros!$E$8,12,1)))</f>
        <v>1</v>
      </c>
    </row>
    <row r="212" customFormat="false" ht="15" hidden="false" customHeight="false" outlineLevel="0" collapsed="false">
      <c r="A212" s="49" t="str">
        <f aca="false">IF(B212="","",ROW()-4)</f>
        <v/>
      </c>
      <c r="B212" s="50"/>
      <c r="C212" s="50"/>
      <c r="D212" s="50"/>
      <c r="E212" s="51"/>
      <c r="F212" s="51"/>
      <c r="G212" s="51"/>
      <c r="H212" s="52"/>
      <c r="I212" s="53"/>
      <c r="J212" s="54"/>
      <c r="K212" s="53"/>
      <c r="L212" s="54"/>
      <c r="M212" s="55" t="str">
        <f aca="false">IF(L212="","",L212-J212)</f>
        <v/>
      </c>
      <c r="N212" s="56" t="str">
        <f aca="true">IF(I212="","",IF(K212&lt;&gt;"","PAGO",IF(I212&lt;TODAY(),"VENCIDO",IF(I212=TODAY(),"VENCE HOJE","A VENCER"))))</f>
        <v/>
      </c>
      <c r="O212" s="57" t="str">
        <f aca="true">IF(OR(I212="",K212&lt;&gt;""),"",I212-TODAY())</f>
        <v/>
      </c>
      <c r="P212" s="51"/>
      <c r="Q212" s="51"/>
      <c r="R212" s="51"/>
      <c r="S212" s="50"/>
      <c r="T212" s="50"/>
      <c r="U212" s="52"/>
      <c r="V212" s="58" t="n">
        <f aca="false">IF(OR(B212="",I212="",F212="",F212=Cadastros!$E$4,F212=Cadastros!$E$9),999999,IF(COUNTIFS($B$5:$B$504,B212,$I$5:$I$504,"&gt;"&amp;I212)=0,YEAR(I212)*12+MONTH(I212),999999))</f>
        <v>999999</v>
      </c>
      <c r="W212" s="58" t="n">
        <f aca="false">IF(U212="",999999,YEAR(U212)*12+MONTH(U212))</f>
        <v>999999</v>
      </c>
      <c r="X212" s="58" t="n">
        <f aca="false">IF(F212=Cadastros!$E$6,3,IF(F212=Cadastros!$E$7,6,IF(F212=Cadastros!$E$8,12,1)))</f>
        <v>1</v>
      </c>
    </row>
    <row r="213" customFormat="false" ht="15" hidden="false" customHeight="false" outlineLevel="0" collapsed="false">
      <c r="A213" s="49" t="str">
        <f aca="false">IF(B213="","",ROW()-4)</f>
        <v/>
      </c>
      <c r="B213" s="50"/>
      <c r="C213" s="50"/>
      <c r="D213" s="50"/>
      <c r="E213" s="51"/>
      <c r="F213" s="51"/>
      <c r="G213" s="51"/>
      <c r="H213" s="52"/>
      <c r="I213" s="53"/>
      <c r="J213" s="54"/>
      <c r="K213" s="53"/>
      <c r="L213" s="54"/>
      <c r="M213" s="55" t="str">
        <f aca="false">IF(L213="","",L213-J213)</f>
        <v/>
      </c>
      <c r="N213" s="56" t="str">
        <f aca="true">IF(I213="","",IF(K213&lt;&gt;"","PAGO",IF(I213&lt;TODAY(),"VENCIDO",IF(I213=TODAY(),"VENCE HOJE","A VENCER"))))</f>
        <v/>
      </c>
      <c r="O213" s="57" t="str">
        <f aca="true">IF(OR(I213="",K213&lt;&gt;""),"",I213-TODAY())</f>
        <v/>
      </c>
      <c r="P213" s="51"/>
      <c r="Q213" s="51"/>
      <c r="R213" s="51"/>
      <c r="S213" s="50"/>
      <c r="T213" s="50"/>
      <c r="U213" s="52"/>
      <c r="V213" s="58" t="n">
        <f aca="false">IF(OR(B213="",I213="",F213="",F213=Cadastros!$E$4,F213=Cadastros!$E$9),999999,IF(COUNTIFS($B$5:$B$504,B213,$I$5:$I$504,"&gt;"&amp;I213)=0,YEAR(I213)*12+MONTH(I213),999999))</f>
        <v>999999</v>
      </c>
      <c r="W213" s="58" t="n">
        <f aca="false">IF(U213="",999999,YEAR(U213)*12+MONTH(U213))</f>
        <v>999999</v>
      </c>
      <c r="X213" s="58" t="n">
        <f aca="false">IF(F213=Cadastros!$E$6,3,IF(F213=Cadastros!$E$7,6,IF(F213=Cadastros!$E$8,12,1)))</f>
        <v>1</v>
      </c>
    </row>
    <row r="214" customFormat="false" ht="15" hidden="false" customHeight="false" outlineLevel="0" collapsed="false">
      <c r="A214" s="49" t="str">
        <f aca="false">IF(B214="","",ROW()-4)</f>
        <v/>
      </c>
      <c r="B214" s="50"/>
      <c r="C214" s="50"/>
      <c r="D214" s="50"/>
      <c r="E214" s="51"/>
      <c r="F214" s="51"/>
      <c r="G214" s="51"/>
      <c r="H214" s="52"/>
      <c r="I214" s="53"/>
      <c r="J214" s="54"/>
      <c r="K214" s="53"/>
      <c r="L214" s="54"/>
      <c r="M214" s="55" t="str">
        <f aca="false">IF(L214="","",L214-J214)</f>
        <v/>
      </c>
      <c r="N214" s="56" t="str">
        <f aca="true">IF(I214="","",IF(K214&lt;&gt;"","PAGO",IF(I214&lt;TODAY(),"VENCIDO",IF(I214=TODAY(),"VENCE HOJE","A VENCER"))))</f>
        <v/>
      </c>
      <c r="O214" s="57" t="str">
        <f aca="true">IF(OR(I214="",K214&lt;&gt;""),"",I214-TODAY())</f>
        <v/>
      </c>
      <c r="P214" s="51"/>
      <c r="Q214" s="51"/>
      <c r="R214" s="51"/>
      <c r="S214" s="50"/>
      <c r="T214" s="50"/>
      <c r="U214" s="52"/>
      <c r="V214" s="58" t="n">
        <f aca="false">IF(OR(B214="",I214="",F214="",F214=Cadastros!$E$4,F214=Cadastros!$E$9),999999,IF(COUNTIFS($B$5:$B$504,B214,$I$5:$I$504,"&gt;"&amp;I214)=0,YEAR(I214)*12+MONTH(I214),999999))</f>
        <v>999999</v>
      </c>
      <c r="W214" s="58" t="n">
        <f aca="false">IF(U214="",999999,YEAR(U214)*12+MONTH(U214))</f>
        <v>999999</v>
      </c>
      <c r="X214" s="58" t="n">
        <f aca="false">IF(F214=Cadastros!$E$6,3,IF(F214=Cadastros!$E$7,6,IF(F214=Cadastros!$E$8,12,1)))</f>
        <v>1</v>
      </c>
    </row>
    <row r="215" customFormat="false" ht="15" hidden="false" customHeight="false" outlineLevel="0" collapsed="false">
      <c r="A215" s="49" t="str">
        <f aca="false">IF(B215="","",ROW()-4)</f>
        <v/>
      </c>
      <c r="B215" s="50"/>
      <c r="C215" s="50"/>
      <c r="D215" s="50"/>
      <c r="E215" s="51"/>
      <c r="F215" s="51"/>
      <c r="G215" s="51"/>
      <c r="H215" s="52"/>
      <c r="I215" s="53"/>
      <c r="J215" s="54"/>
      <c r="K215" s="53"/>
      <c r="L215" s="54"/>
      <c r="M215" s="55" t="str">
        <f aca="false">IF(L215="","",L215-J215)</f>
        <v/>
      </c>
      <c r="N215" s="56" t="str">
        <f aca="true">IF(I215="","",IF(K215&lt;&gt;"","PAGO",IF(I215&lt;TODAY(),"VENCIDO",IF(I215=TODAY(),"VENCE HOJE","A VENCER"))))</f>
        <v/>
      </c>
      <c r="O215" s="57" t="str">
        <f aca="true">IF(OR(I215="",K215&lt;&gt;""),"",I215-TODAY())</f>
        <v/>
      </c>
      <c r="P215" s="51"/>
      <c r="Q215" s="51"/>
      <c r="R215" s="51"/>
      <c r="S215" s="50"/>
      <c r="T215" s="50"/>
      <c r="U215" s="52"/>
      <c r="V215" s="58" t="n">
        <f aca="false">IF(OR(B215="",I215="",F215="",F215=Cadastros!$E$4,F215=Cadastros!$E$9),999999,IF(COUNTIFS($B$5:$B$504,B215,$I$5:$I$504,"&gt;"&amp;I215)=0,YEAR(I215)*12+MONTH(I215),999999))</f>
        <v>999999</v>
      </c>
      <c r="W215" s="58" t="n">
        <f aca="false">IF(U215="",999999,YEAR(U215)*12+MONTH(U215))</f>
        <v>999999</v>
      </c>
      <c r="X215" s="58" t="n">
        <f aca="false">IF(F215=Cadastros!$E$6,3,IF(F215=Cadastros!$E$7,6,IF(F215=Cadastros!$E$8,12,1)))</f>
        <v>1</v>
      </c>
    </row>
    <row r="216" customFormat="false" ht="15" hidden="false" customHeight="false" outlineLevel="0" collapsed="false">
      <c r="A216" s="49" t="str">
        <f aca="false">IF(B216="","",ROW()-4)</f>
        <v/>
      </c>
      <c r="B216" s="50"/>
      <c r="C216" s="50"/>
      <c r="D216" s="50"/>
      <c r="E216" s="51"/>
      <c r="F216" s="51"/>
      <c r="G216" s="51"/>
      <c r="H216" s="52"/>
      <c r="I216" s="53"/>
      <c r="J216" s="54"/>
      <c r="K216" s="53"/>
      <c r="L216" s="54"/>
      <c r="M216" s="55" t="str">
        <f aca="false">IF(L216="","",L216-J216)</f>
        <v/>
      </c>
      <c r="N216" s="56" t="str">
        <f aca="true">IF(I216="","",IF(K216&lt;&gt;"","PAGO",IF(I216&lt;TODAY(),"VENCIDO",IF(I216=TODAY(),"VENCE HOJE","A VENCER"))))</f>
        <v/>
      </c>
      <c r="O216" s="57" t="str">
        <f aca="true">IF(OR(I216="",K216&lt;&gt;""),"",I216-TODAY())</f>
        <v/>
      </c>
      <c r="P216" s="51"/>
      <c r="Q216" s="51"/>
      <c r="R216" s="51"/>
      <c r="S216" s="50"/>
      <c r="T216" s="50"/>
      <c r="U216" s="52"/>
      <c r="V216" s="58" t="n">
        <f aca="false">IF(OR(B216="",I216="",F216="",F216=Cadastros!$E$4,F216=Cadastros!$E$9),999999,IF(COUNTIFS($B$5:$B$504,B216,$I$5:$I$504,"&gt;"&amp;I216)=0,YEAR(I216)*12+MONTH(I216),999999))</f>
        <v>999999</v>
      </c>
      <c r="W216" s="58" t="n">
        <f aca="false">IF(U216="",999999,YEAR(U216)*12+MONTH(U216))</f>
        <v>999999</v>
      </c>
      <c r="X216" s="58" t="n">
        <f aca="false">IF(F216=Cadastros!$E$6,3,IF(F216=Cadastros!$E$7,6,IF(F216=Cadastros!$E$8,12,1)))</f>
        <v>1</v>
      </c>
    </row>
    <row r="217" customFormat="false" ht="15" hidden="false" customHeight="false" outlineLevel="0" collapsed="false">
      <c r="A217" s="49" t="str">
        <f aca="false">IF(B217="","",ROW()-4)</f>
        <v/>
      </c>
      <c r="B217" s="50"/>
      <c r="C217" s="50"/>
      <c r="D217" s="50"/>
      <c r="E217" s="51"/>
      <c r="F217" s="51"/>
      <c r="G217" s="51"/>
      <c r="H217" s="52"/>
      <c r="I217" s="53"/>
      <c r="J217" s="54"/>
      <c r="K217" s="53"/>
      <c r="L217" s="54"/>
      <c r="M217" s="55" t="str">
        <f aca="false">IF(L217="","",L217-J217)</f>
        <v/>
      </c>
      <c r="N217" s="56" t="str">
        <f aca="true">IF(I217="","",IF(K217&lt;&gt;"","PAGO",IF(I217&lt;TODAY(),"VENCIDO",IF(I217=TODAY(),"VENCE HOJE","A VENCER"))))</f>
        <v/>
      </c>
      <c r="O217" s="57" t="str">
        <f aca="true">IF(OR(I217="",K217&lt;&gt;""),"",I217-TODAY())</f>
        <v/>
      </c>
      <c r="P217" s="51"/>
      <c r="Q217" s="51"/>
      <c r="R217" s="51"/>
      <c r="S217" s="50"/>
      <c r="T217" s="50"/>
      <c r="U217" s="52"/>
      <c r="V217" s="58" t="n">
        <f aca="false">IF(OR(B217="",I217="",F217="",F217=Cadastros!$E$4,F217=Cadastros!$E$9),999999,IF(COUNTIFS($B$5:$B$504,B217,$I$5:$I$504,"&gt;"&amp;I217)=0,YEAR(I217)*12+MONTH(I217),999999))</f>
        <v>999999</v>
      </c>
      <c r="W217" s="58" t="n">
        <f aca="false">IF(U217="",999999,YEAR(U217)*12+MONTH(U217))</f>
        <v>999999</v>
      </c>
      <c r="X217" s="58" t="n">
        <f aca="false">IF(F217=Cadastros!$E$6,3,IF(F217=Cadastros!$E$7,6,IF(F217=Cadastros!$E$8,12,1)))</f>
        <v>1</v>
      </c>
    </row>
    <row r="218" customFormat="false" ht="15" hidden="false" customHeight="false" outlineLevel="0" collapsed="false">
      <c r="A218" s="49" t="str">
        <f aca="false">IF(B218="","",ROW()-4)</f>
        <v/>
      </c>
      <c r="B218" s="50"/>
      <c r="C218" s="50"/>
      <c r="D218" s="50"/>
      <c r="E218" s="51"/>
      <c r="F218" s="51"/>
      <c r="G218" s="51"/>
      <c r="H218" s="52"/>
      <c r="I218" s="53"/>
      <c r="J218" s="54"/>
      <c r="K218" s="53"/>
      <c r="L218" s="54"/>
      <c r="M218" s="55" t="str">
        <f aca="false">IF(L218="","",L218-J218)</f>
        <v/>
      </c>
      <c r="N218" s="56" t="str">
        <f aca="true">IF(I218="","",IF(K218&lt;&gt;"","PAGO",IF(I218&lt;TODAY(),"VENCIDO",IF(I218=TODAY(),"VENCE HOJE","A VENCER"))))</f>
        <v/>
      </c>
      <c r="O218" s="57" t="str">
        <f aca="true">IF(OR(I218="",K218&lt;&gt;""),"",I218-TODAY())</f>
        <v/>
      </c>
      <c r="P218" s="51"/>
      <c r="Q218" s="51"/>
      <c r="R218" s="51"/>
      <c r="S218" s="50"/>
      <c r="T218" s="50"/>
      <c r="U218" s="52"/>
      <c r="V218" s="58" t="n">
        <f aca="false">IF(OR(B218="",I218="",F218="",F218=Cadastros!$E$4,F218=Cadastros!$E$9),999999,IF(COUNTIFS($B$5:$B$504,B218,$I$5:$I$504,"&gt;"&amp;I218)=0,YEAR(I218)*12+MONTH(I218),999999))</f>
        <v>999999</v>
      </c>
      <c r="W218" s="58" t="n">
        <f aca="false">IF(U218="",999999,YEAR(U218)*12+MONTH(U218))</f>
        <v>999999</v>
      </c>
      <c r="X218" s="58" t="n">
        <f aca="false">IF(F218=Cadastros!$E$6,3,IF(F218=Cadastros!$E$7,6,IF(F218=Cadastros!$E$8,12,1)))</f>
        <v>1</v>
      </c>
    </row>
    <row r="219" customFormat="false" ht="15" hidden="false" customHeight="false" outlineLevel="0" collapsed="false">
      <c r="A219" s="49" t="str">
        <f aca="false">IF(B219="","",ROW()-4)</f>
        <v/>
      </c>
      <c r="B219" s="50"/>
      <c r="C219" s="50"/>
      <c r="D219" s="50"/>
      <c r="E219" s="51"/>
      <c r="F219" s="51"/>
      <c r="G219" s="51"/>
      <c r="H219" s="52"/>
      <c r="I219" s="53"/>
      <c r="J219" s="54"/>
      <c r="K219" s="53"/>
      <c r="L219" s="54"/>
      <c r="M219" s="55" t="str">
        <f aca="false">IF(L219="","",L219-J219)</f>
        <v/>
      </c>
      <c r="N219" s="56" t="str">
        <f aca="true">IF(I219="","",IF(K219&lt;&gt;"","PAGO",IF(I219&lt;TODAY(),"VENCIDO",IF(I219=TODAY(),"VENCE HOJE","A VENCER"))))</f>
        <v/>
      </c>
      <c r="O219" s="57" t="str">
        <f aca="true">IF(OR(I219="",K219&lt;&gt;""),"",I219-TODAY())</f>
        <v/>
      </c>
      <c r="P219" s="51"/>
      <c r="Q219" s="51"/>
      <c r="R219" s="51"/>
      <c r="S219" s="50"/>
      <c r="T219" s="50"/>
      <c r="U219" s="52"/>
      <c r="V219" s="58" t="n">
        <f aca="false">IF(OR(B219="",I219="",F219="",F219=Cadastros!$E$4,F219=Cadastros!$E$9),999999,IF(COUNTIFS($B$5:$B$504,B219,$I$5:$I$504,"&gt;"&amp;I219)=0,YEAR(I219)*12+MONTH(I219),999999))</f>
        <v>999999</v>
      </c>
      <c r="W219" s="58" t="n">
        <f aca="false">IF(U219="",999999,YEAR(U219)*12+MONTH(U219))</f>
        <v>999999</v>
      </c>
      <c r="X219" s="58" t="n">
        <f aca="false">IF(F219=Cadastros!$E$6,3,IF(F219=Cadastros!$E$7,6,IF(F219=Cadastros!$E$8,12,1)))</f>
        <v>1</v>
      </c>
    </row>
    <row r="220" customFormat="false" ht="15" hidden="false" customHeight="false" outlineLevel="0" collapsed="false">
      <c r="A220" s="49" t="str">
        <f aca="false">IF(B220="","",ROW()-4)</f>
        <v/>
      </c>
      <c r="B220" s="50"/>
      <c r="C220" s="50"/>
      <c r="D220" s="50"/>
      <c r="E220" s="51"/>
      <c r="F220" s="51"/>
      <c r="G220" s="51"/>
      <c r="H220" s="52"/>
      <c r="I220" s="53"/>
      <c r="J220" s="54"/>
      <c r="K220" s="53"/>
      <c r="L220" s="54"/>
      <c r="M220" s="55" t="str">
        <f aca="false">IF(L220="","",L220-J220)</f>
        <v/>
      </c>
      <c r="N220" s="56" t="str">
        <f aca="true">IF(I220="","",IF(K220&lt;&gt;"","PAGO",IF(I220&lt;TODAY(),"VENCIDO",IF(I220=TODAY(),"VENCE HOJE","A VENCER"))))</f>
        <v/>
      </c>
      <c r="O220" s="57" t="str">
        <f aca="true">IF(OR(I220="",K220&lt;&gt;""),"",I220-TODAY())</f>
        <v/>
      </c>
      <c r="P220" s="51"/>
      <c r="Q220" s="51"/>
      <c r="R220" s="51"/>
      <c r="S220" s="50"/>
      <c r="T220" s="50"/>
      <c r="U220" s="52"/>
      <c r="V220" s="58" t="n">
        <f aca="false">IF(OR(B220="",I220="",F220="",F220=Cadastros!$E$4,F220=Cadastros!$E$9),999999,IF(COUNTIFS($B$5:$B$504,B220,$I$5:$I$504,"&gt;"&amp;I220)=0,YEAR(I220)*12+MONTH(I220),999999))</f>
        <v>999999</v>
      </c>
      <c r="W220" s="58" t="n">
        <f aca="false">IF(U220="",999999,YEAR(U220)*12+MONTH(U220))</f>
        <v>999999</v>
      </c>
      <c r="X220" s="58" t="n">
        <f aca="false">IF(F220=Cadastros!$E$6,3,IF(F220=Cadastros!$E$7,6,IF(F220=Cadastros!$E$8,12,1)))</f>
        <v>1</v>
      </c>
    </row>
    <row r="221" customFormat="false" ht="15" hidden="false" customHeight="false" outlineLevel="0" collapsed="false">
      <c r="A221" s="49" t="str">
        <f aca="false">IF(B221="","",ROW()-4)</f>
        <v/>
      </c>
      <c r="B221" s="50"/>
      <c r="C221" s="50"/>
      <c r="D221" s="50"/>
      <c r="E221" s="51"/>
      <c r="F221" s="51"/>
      <c r="G221" s="51"/>
      <c r="H221" s="52"/>
      <c r="I221" s="53"/>
      <c r="J221" s="54"/>
      <c r="K221" s="53"/>
      <c r="L221" s="54"/>
      <c r="M221" s="55" t="str">
        <f aca="false">IF(L221="","",L221-J221)</f>
        <v/>
      </c>
      <c r="N221" s="56" t="str">
        <f aca="true">IF(I221="","",IF(K221&lt;&gt;"","PAGO",IF(I221&lt;TODAY(),"VENCIDO",IF(I221=TODAY(),"VENCE HOJE","A VENCER"))))</f>
        <v/>
      </c>
      <c r="O221" s="57" t="str">
        <f aca="true">IF(OR(I221="",K221&lt;&gt;""),"",I221-TODAY())</f>
        <v/>
      </c>
      <c r="P221" s="51"/>
      <c r="Q221" s="51"/>
      <c r="R221" s="51"/>
      <c r="S221" s="50"/>
      <c r="T221" s="50"/>
      <c r="U221" s="52"/>
      <c r="V221" s="58" t="n">
        <f aca="false">IF(OR(B221="",I221="",F221="",F221=Cadastros!$E$4,F221=Cadastros!$E$9),999999,IF(COUNTIFS($B$5:$B$504,B221,$I$5:$I$504,"&gt;"&amp;I221)=0,YEAR(I221)*12+MONTH(I221),999999))</f>
        <v>999999</v>
      </c>
      <c r="W221" s="58" t="n">
        <f aca="false">IF(U221="",999999,YEAR(U221)*12+MONTH(U221))</f>
        <v>999999</v>
      </c>
      <c r="X221" s="58" t="n">
        <f aca="false">IF(F221=Cadastros!$E$6,3,IF(F221=Cadastros!$E$7,6,IF(F221=Cadastros!$E$8,12,1)))</f>
        <v>1</v>
      </c>
    </row>
    <row r="222" customFormat="false" ht="15" hidden="false" customHeight="false" outlineLevel="0" collapsed="false">
      <c r="A222" s="49" t="str">
        <f aca="false">IF(B222="","",ROW()-4)</f>
        <v/>
      </c>
      <c r="B222" s="50"/>
      <c r="C222" s="50"/>
      <c r="D222" s="50"/>
      <c r="E222" s="51"/>
      <c r="F222" s="51"/>
      <c r="G222" s="51"/>
      <c r="H222" s="52"/>
      <c r="I222" s="53"/>
      <c r="J222" s="54"/>
      <c r="K222" s="53"/>
      <c r="L222" s="54"/>
      <c r="M222" s="55" t="str">
        <f aca="false">IF(L222="","",L222-J222)</f>
        <v/>
      </c>
      <c r="N222" s="56" t="str">
        <f aca="true">IF(I222="","",IF(K222&lt;&gt;"","PAGO",IF(I222&lt;TODAY(),"VENCIDO",IF(I222=TODAY(),"VENCE HOJE","A VENCER"))))</f>
        <v/>
      </c>
      <c r="O222" s="57" t="str">
        <f aca="true">IF(OR(I222="",K222&lt;&gt;""),"",I222-TODAY())</f>
        <v/>
      </c>
      <c r="P222" s="51"/>
      <c r="Q222" s="51"/>
      <c r="R222" s="51"/>
      <c r="S222" s="50"/>
      <c r="T222" s="50"/>
      <c r="U222" s="52"/>
      <c r="V222" s="58" t="n">
        <f aca="false">IF(OR(B222="",I222="",F222="",F222=Cadastros!$E$4,F222=Cadastros!$E$9),999999,IF(COUNTIFS($B$5:$B$504,B222,$I$5:$I$504,"&gt;"&amp;I222)=0,YEAR(I222)*12+MONTH(I222),999999))</f>
        <v>999999</v>
      </c>
      <c r="W222" s="58" t="n">
        <f aca="false">IF(U222="",999999,YEAR(U222)*12+MONTH(U222))</f>
        <v>999999</v>
      </c>
      <c r="X222" s="58" t="n">
        <f aca="false">IF(F222=Cadastros!$E$6,3,IF(F222=Cadastros!$E$7,6,IF(F222=Cadastros!$E$8,12,1)))</f>
        <v>1</v>
      </c>
    </row>
    <row r="223" customFormat="false" ht="15" hidden="false" customHeight="false" outlineLevel="0" collapsed="false">
      <c r="A223" s="49" t="str">
        <f aca="false">IF(B223="","",ROW()-4)</f>
        <v/>
      </c>
      <c r="B223" s="50"/>
      <c r="C223" s="50"/>
      <c r="D223" s="50"/>
      <c r="E223" s="51"/>
      <c r="F223" s="51"/>
      <c r="G223" s="51"/>
      <c r="H223" s="52"/>
      <c r="I223" s="53"/>
      <c r="J223" s="54"/>
      <c r="K223" s="53"/>
      <c r="L223" s="54"/>
      <c r="M223" s="55" t="str">
        <f aca="false">IF(L223="","",L223-J223)</f>
        <v/>
      </c>
      <c r="N223" s="56" t="str">
        <f aca="true">IF(I223="","",IF(K223&lt;&gt;"","PAGO",IF(I223&lt;TODAY(),"VENCIDO",IF(I223=TODAY(),"VENCE HOJE","A VENCER"))))</f>
        <v/>
      </c>
      <c r="O223" s="57" t="str">
        <f aca="true">IF(OR(I223="",K223&lt;&gt;""),"",I223-TODAY())</f>
        <v/>
      </c>
      <c r="P223" s="51"/>
      <c r="Q223" s="51"/>
      <c r="R223" s="51"/>
      <c r="S223" s="50"/>
      <c r="T223" s="50"/>
      <c r="U223" s="52"/>
      <c r="V223" s="58" t="n">
        <f aca="false">IF(OR(B223="",I223="",F223="",F223=Cadastros!$E$4,F223=Cadastros!$E$9),999999,IF(COUNTIFS($B$5:$B$504,B223,$I$5:$I$504,"&gt;"&amp;I223)=0,YEAR(I223)*12+MONTH(I223),999999))</f>
        <v>999999</v>
      </c>
      <c r="W223" s="58" t="n">
        <f aca="false">IF(U223="",999999,YEAR(U223)*12+MONTH(U223))</f>
        <v>999999</v>
      </c>
      <c r="X223" s="58" t="n">
        <f aca="false">IF(F223=Cadastros!$E$6,3,IF(F223=Cadastros!$E$7,6,IF(F223=Cadastros!$E$8,12,1)))</f>
        <v>1</v>
      </c>
    </row>
    <row r="224" customFormat="false" ht="15" hidden="false" customHeight="false" outlineLevel="0" collapsed="false">
      <c r="A224" s="49" t="str">
        <f aca="false">IF(B224="","",ROW()-4)</f>
        <v/>
      </c>
      <c r="B224" s="50"/>
      <c r="C224" s="50"/>
      <c r="D224" s="50"/>
      <c r="E224" s="51"/>
      <c r="F224" s="51"/>
      <c r="G224" s="51"/>
      <c r="H224" s="52"/>
      <c r="I224" s="53"/>
      <c r="J224" s="54"/>
      <c r="K224" s="53"/>
      <c r="L224" s="54"/>
      <c r="M224" s="55" t="str">
        <f aca="false">IF(L224="","",L224-J224)</f>
        <v/>
      </c>
      <c r="N224" s="56" t="str">
        <f aca="true">IF(I224="","",IF(K224&lt;&gt;"","PAGO",IF(I224&lt;TODAY(),"VENCIDO",IF(I224=TODAY(),"VENCE HOJE","A VENCER"))))</f>
        <v/>
      </c>
      <c r="O224" s="57" t="str">
        <f aca="true">IF(OR(I224="",K224&lt;&gt;""),"",I224-TODAY())</f>
        <v/>
      </c>
      <c r="P224" s="51"/>
      <c r="Q224" s="51"/>
      <c r="R224" s="51"/>
      <c r="S224" s="50"/>
      <c r="T224" s="50"/>
      <c r="U224" s="52"/>
      <c r="V224" s="58" t="n">
        <f aca="false">IF(OR(B224="",I224="",F224="",F224=Cadastros!$E$4,F224=Cadastros!$E$9),999999,IF(COUNTIFS($B$5:$B$504,B224,$I$5:$I$504,"&gt;"&amp;I224)=0,YEAR(I224)*12+MONTH(I224),999999))</f>
        <v>999999</v>
      </c>
      <c r="W224" s="58" t="n">
        <f aca="false">IF(U224="",999999,YEAR(U224)*12+MONTH(U224))</f>
        <v>999999</v>
      </c>
      <c r="X224" s="58" t="n">
        <f aca="false">IF(F224=Cadastros!$E$6,3,IF(F224=Cadastros!$E$7,6,IF(F224=Cadastros!$E$8,12,1)))</f>
        <v>1</v>
      </c>
    </row>
    <row r="225" customFormat="false" ht="15" hidden="false" customHeight="false" outlineLevel="0" collapsed="false">
      <c r="A225" s="49" t="str">
        <f aca="false">IF(B225="","",ROW()-4)</f>
        <v/>
      </c>
      <c r="B225" s="50"/>
      <c r="C225" s="50"/>
      <c r="D225" s="50"/>
      <c r="E225" s="51"/>
      <c r="F225" s="51"/>
      <c r="G225" s="51"/>
      <c r="H225" s="52"/>
      <c r="I225" s="53"/>
      <c r="J225" s="54"/>
      <c r="K225" s="53"/>
      <c r="L225" s="54"/>
      <c r="M225" s="55" t="str">
        <f aca="false">IF(L225="","",L225-J225)</f>
        <v/>
      </c>
      <c r="N225" s="56" t="str">
        <f aca="true">IF(I225="","",IF(K225&lt;&gt;"","PAGO",IF(I225&lt;TODAY(),"VENCIDO",IF(I225=TODAY(),"VENCE HOJE","A VENCER"))))</f>
        <v/>
      </c>
      <c r="O225" s="57" t="str">
        <f aca="true">IF(OR(I225="",K225&lt;&gt;""),"",I225-TODAY())</f>
        <v/>
      </c>
      <c r="P225" s="51"/>
      <c r="Q225" s="51"/>
      <c r="R225" s="51"/>
      <c r="S225" s="50"/>
      <c r="T225" s="50"/>
      <c r="U225" s="52"/>
      <c r="V225" s="58" t="n">
        <f aca="false">IF(OR(B225="",I225="",F225="",F225=Cadastros!$E$4,F225=Cadastros!$E$9),999999,IF(COUNTIFS($B$5:$B$504,B225,$I$5:$I$504,"&gt;"&amp;I225)=0,YEAR(I225)*12+MONTH(I225),999999))</f>
        <v>999999</v>
      </c>
      <c r="W225" s="58" t="n">
        <f aca="false">IF(U225="",999999,YEAR(U225)*12+MONTH(U225))</f>
        <v>999999</v>
      </c>
      <c r="X225" s="58" t="n">
        <f aca="false">IF(F225=Cadastros!$E$6,3,IF(F225=Cadastros!$E$7,6,IF(F225=Cadastros!$E$8,12,1)))</f>
        <v>1</v>
      </c>
    </row>
    <row r="226" customFormat="false" ht="15" hidden="false" customHeight="false" outlineLevel="0" collapsed="false">
      <c r="A226" s="49" t="str">
        <f aca="false">IF(B226="","",ROW()-4)</f>
        <v/>
      </c>
      <c r="B226" s="50"/>
      <c r="C226" s="50"/>
      <c r="D226" s="50"/>
      <c r="E226" s="51"/>
      <c r="F226" s="51"/>
      <c r="G226" s="51"/>
      <c r="H226" s="52"/>
      <c r="I226" s="53"/>
      <c r="J226" s="54"/>
      <c r="K226" s="53"/>
      <c r="L226" s="54"/>
      <c r="M226" s="55" t="str">
        <f aca="false">IF(L226="","",L226-J226)</f>
        <v/>
      </c>
      <c r="N226" s="56" t="str">
        <f aca="true">IF(I226="","",IF(K226&lt;&gt;"","PAGO",IF(I226&lt;TODAY(),"VENCIDO",IF(I226=TODAY(),"VENCE HOJE","A VENCER"))))</f>
        <v/>
      </c>
      <c r="O226" s="57" t="str">
        <f aca="true">IF(OR(I226="",K226&lt;&gt;""),"",I226-TODAY())</f>
        <v/>
      </c>
      <c r="P226" s="51"/>
      <c r="Q226" s="51"/>
      <c r="R226" s="51"/>
      <c r="S226" s="50"/>
      <c r="T226" s="50"/>
      <c r="U226" s="52"/>
      <c r="V226" s="58" t="n">
        <f aca="false">IF(OR(B226="",I226="",F226="",F226=Cadastros!$E$4,F226=Cadastros!$E$9),999999,IF(COUNTIFS($B$5:$B$504,B226,$I$5:$I$504,"&gt;"&amp;I226)=0,YEAR(I226)*12+MONTH(I226),999999))</f>
        <v>999999</v>
      </c>
      <c r="W226" s="58" t="n">
        <f aca="false">IF(U226="",999999,YEAR(U226)*12+MONTH(U226))</f>
        <v>999999</v>
      </c>
      <c r="X226" s="58" t="n">
        <f aca="false">IF(F226=Cadastros!$E$6,3,IF(F226=Cadastros!$E$7,6,IF(F226=Cadastros!$E$8,12,1)))</f>
        <v>1</v>
      </c>
    </row>
    <row r="227" customFormat="false" ht="15" hidden="false" customHeight="false" outlineLevel="0" collapsed="false">
      <c r="A227" s="49" t="str">
        <f aca="false">IF(B227="","",ROW()-4)</f>
        <v/>
      </c>
      <c r="B227" s="50"/>
      <c r="C227" s="50"/>
      <c r="D227" s="50"/>
      <c r="E227" s="51"/>
      <c r="F227" s="51"/>
      <c r="G227" s="51"/>
      <c r="H227" s="52"/>
      <c r="I227" s="53"/>
      <c r="J227" s="54"/>
      <c r="K227" s="53"/>
      <c r="L227" s="54"/>
      <c r="M227" s="55" t="str">
        <f aca="false">IF(L227="","",L227-J227)</f>
        <v/>
      </c>
      <c r="N227" s="56" t="str">
        <f aca="true">IF(I227="","",IF(K227&lt;&gt;"","PAGO",IF(I227&lt;TODAY(),"VENCIDO",IF(I227=TODAY(),"VENCE HOJE","A VENCER"))))</f>
        <v/>
      </c>
      <c r="O227" s="57" t="str">
        <f aca="true">IF(OR(I227="",K227&lt;&gt;""),"",I227-TODAY())</f>
        <v/>
      </c>
      <c r="P227" s="51"/>
      <c r="Q227" s="51"/>
      <c r="R227" s="51"/>
      <c r="S227" s="50"/>
      <c r="T227" s="50"/>
      <c r="U227" s="52"/>
      <c r="V227" s="58" t="n">
        <f aca="false">IF(OR(B227="",I227="",F227="",F227=Cadastros!$E$4,F227=Cadastros!$E$9),999999,IF(COUNTIFS($B$5:$B$504,B227,$I$5:$I$504,"&gt;"&amp;I227)=0,YEAR(I227)*12+MONTH(I227),999999))</f>
        <v>999999</v>
      </c>
      <c r="W227" s="58" t="n">
        <f aca="false">IF(U227="",999999,YEAR(U227)*12+MONTH(U227))</f>
        <v>999999</v>
      </c>
      <c r="X227" s="58" t="n">
        <f aca="false">IF(F227=Cadastros!$E$6,3,IF(F227=Cadastros!$E$7,6,IF(F227=Cadastros!$E$8,12,1)))</f>
        <v>1</v>
      </c>
    </row>
    <row r="228" customFormat="false" ht="15" hidden="false" customHeight="false" outlineLevel="0" collapsed="false">
      <c r="A228" s="49" t="str">
        <f aca="false">IF(B228="","",ROW()-4)</f>
        <v/>
      </c>
      <c r="B228" s="50"/>
      <c r="C228" s="50"/>
      <c r="D228" s="50"/>
      <c r="E228" s="51"/>
      <c r="F228" s="51"/>
      <c r="G228" s="51"/>
      <c r="H228" s="52"/>
      <c r="I228" s="53"/>
      <c r="J228" s="54"/>
      <c r="K228" s="53"/>
      <c r="L228" s="54"/>
      <c r="M228" s="55" t="str">
        <f aca="false">IF(L228="","",L228-J228)</f>
        <v/>
      </c>
      <c r="N228" s="56" t="str">
        <f aca="true">IF(I228="","",IF(K228&lt;&gt;"","PAGO",IF(I228&lt;TODAY(),"VENCIDO",IF(I228=TODAY(),"VENCE HOJE","A VENCER"))))</f>
        <v/>
      </c>
      <c r="O228" s="57" t="str">
        <f aca="true">IF(OR(I228="",K228&lt;&gt;""),"",I228-TODAY())</f>
        <v/>
      </c>
      <c r="P228" s="51"/>
      <c r="Q228" s="51"/>
      <c r="R228" s="51"/>
      <c r="S228" s="50"/>
      <c r="T228" s="50"/>
      <c r="U228" s="52"/>
      <c r="V228" s="58" t="n">
        <f aca="false">IF(OR(B228="",I228="",F228="",F228=Cadastros!$E$4,F228=Cadastros!$E$9),999999,IF(COUNTIFS($B$5:$B$504,B228,$I$5:$I$504,"&gt;"&amp;I228)=0,YEAR(I228)*12+MONTH(I228),999999))</f>
        <v>999999</v>
      </c>
      <c r="W228" s="58" t="n">
        <f aca="false">IF(U228="",999999,YEAR(U228)*12+MONTH(U228))</f>
        <v>999999</v>
      </c>
      <c r="X228" s="58" t="n">
        <f aca="false">IF(F228=Cadastros!$E$6,3,IF(F228=Cadastros!$E$7,6,IF(F228=Cadastros!$E$8,12,1)))</f>
        <v>1</v>
      </c>
    </row>
    <row r="229" customFormat="false" ht="15" hidden="false" customHeight="false" outlineLevel="0" collapsed="false">
      <c r="A229" s="49" t="str">
        <f aca="false">IF(B229="","",ROW()-4)</f>
        <v/>
      </c>
      <c r="B229" s="50"/>
      <c r="C229" s="50"/>
      <c r="D229" s="50"/>
      <c r="E229" s="51"/>
      <c r="F229" s="51"/>
      <c r="G229" s="51"/>
      <c r="H229" s="52"/>
      <c r="I229" s="53"/>
      <c r="J229" s="54"/>
      <c r="K229" s="53"/>
      <c r="L229" s="54"/>
      <c r="M229" s="55" t="str">
        <f aca="false">IF(L229="","",L229-J229)</f>
        <v/>
      </c>
      <c r="N229" s="56" t="str">
        <f aca="true">IF(I229="","",IF(K229&lt;&gt;"","PAGO",IF(I229&lt;TODAY(),"VENCIDO",IF(I229=TODAY(),"VENCE HOJE","A VENCER"))))</f>
        <v/>
      </c>
      <c r="O229" s="57" t="str">
        <f aca="true">IF(OR(I229="",K229&lt;&gt;""),"",I229-TODAY())</f>
        <v/>
      </c>
      <c r="P229" s="51"/>
      <c r="Q229" s="51"/>
      <c r="R229" s="51"/>
      <c r="S229" s="50"/>
      <c r="T229" s="50"/>
      <c r="U229" s="52"/>
      <c r="V229" s="58" t="n">
        <f aca="false">IF(OR(B229="",I229="",F229="",F229=Cadastros!$E$4,F229=Cadastros!$E$9),999999,IF(COUNTIFS($B$5:$B$504,B229,$I$5:$I$504,"&gt;"&amp;I229)=0,YEAR(I229)*12+MONTH(I229),999999))</f>
        <v>999999</v>
      </c>
      <c r="W229" s="58" t="n">
        <f aca="false">IF(U229="",999999,YEAR(U229)*12+MONTH(U229))</f>
        <v>999999</v>
      </c>
      <c r="X229" s="58" t="n">
        <f aca="false">IF(F229=Cadastros!$E$6,3,IF(F229=Cadastros!$E$7,6,IF(F229=Cadastros!$E$8,12,1)))</f>
        <v>1</v>
      </c>
    </row>
    <row r="230" customFormat="false" ht="15" hidden="false" customHeight="false" outlineLevel="0" collapsed="false">
      <c r="A230" s="49" t="str">
        <f aca="false">IF(B230="","",ROW()-4)</f>
        <v/>
      </c>
      <c r="B230" s="50"/>
      <c r="C230" s="50"/>
      <c r="D230" s="50"/>
      <c r="E230" s="51"/>
      <c r="F230" s="51"/>
      <c r="G230" s="51"/>
      <c r="H230" s="52"/>
      <c r="I230" s="53"/>
      <c r="J230" s="54"/>
      <c r="K230" s="53"/>
      <c r="L230" s="54"/>
      <c r="M230" s="55" t="str">
        <f aca="false">IF(L230="","",L230-J230)</f>
        <v/>
      </c>
      <c r="N230" s="56" t="str">
        <f aca="true">IF(I230="","",IF(K230&lt;&gt;"","PAGO",IF(I230&lt;TODAY(),"VENCIDO",IF(I230=TODAY(),"VENCE HOJE","A VENCER"))))</f>
        <v/>
      </c>
      <c r="O230" s="57" t="str">
        <f aca="true">IF(OR(I230="",K230&lt;&gt;""),"",I230-TODAY())</f>
        <v/>
      </c>
      <c r="P230" s="51"/>
      <c r="Q230" s="51"/>
      <c r="R230" s="51"/>
      <c r="S230" s="50"/>
      <c r="T230" s="50"/>
      <c r="U230" s="52"/>
      <c r="V230" s="58" t="n">
        <f aca="false">IF(OR(B230="",I230="",F230="",F230=Cadastros!$E$4,F230=Cadastros!$E$9),999999,IF(COUNTIFS($B$5:$B$504,B230,$I$5:$I$504,"&gt;"&amp;I230)=0,YEAR(I230)*12+MONTH(I230),999999))</f>
        <v>999999</v>
      </c>
      <c r="W230" s="58" t="n">
        <f aca="false">IF(U230="",999999,YEAR(U230)*12+MONTH(U230))</f>
        <v>999999</v>
      </c>
      <c r="X230" s="58" t="n">
        <f aca="false">IF(F230=Cadastros!$E$6,3,IF(F230=Cadastros!$E$7,6,IF(F230=Cadastros!$E$8,12,1)))</f>
        <v>1</v>
      </c>
    </row>
    <row r="231" customFormat="false" ht="15" hidden="false" customHeight="false" outlineLevel="0" collapsed="false">
      <c r="A231" s="49" t="str">
        <f aca="false">IF(B231="","",ROW()-4)</f>
        <v/>
      </c>
      <c r="B231" s="50"/>
      <c r="C231" s="50"/>
      <c r="D231" s="50"/>
      <c r="E231" s="51"/>
      <c r="F231" s="51"/>
      <c r="G231" s="51"/>
      <c r="H231" s="52"/>
      <c r="I231" s="53"/>
      <c r="J231" s="54"/>
      <c r="K231" s="53"/>
      <c r="L231" s="54"/>
      <c r="M231" s="55" t="str">
        <f aca="false">IF(L231="","",L231-J231)</f>
        <v/>
      </c>
      <c r="N231" s="56" t="str">
        <f aca="true">IF(I231="","",IF(K231&lt;&gt;"","PAGO",IF(I231&lt;TODAY(),"VENCIDO",IF(I231=TODAY(),"VENCE HOJE","A VENCER"))))</f>
        <v/>
      </c>
      <c r="O231" s="57" t="str">
        <f aca="true">IF(OR(I231="",K231&lt;&gt;""),"",I231-TODAY())</f>
        <v/>
      </c>
      <c r="P231" s="51"/>
      <c r="Q231" s="51"/>
      <c r="R231" s="51"/>
      <c r="S231" s="50"/>
      <c r="T231" s="50"/>
      <c r="U231" s="52"/>
      <c r="V231" s="58" t="n">
        <f aca="false">IF(OR(B231="",I231="",F231="",F231=Cadastros!$E$4,F231=Cadastros!$E$9),999999,IF(COUNTIFS($B$5:$B$504,B231,$I$5:$I$504,"&gt;"&amp;I231)=0,YEAR(I231)*12+MONTH(I231),999999))</f>
        <v>999999</v>
      </c>
      <c r="W231" s="58" t="n">
        <f aca="false">IF(U231="",999999,YEAR(U231)*12+MONTH(U231))</f>
        <v>999999</v>
      </c>
      <c r="X231" s="58" t="n">
        <f aca="false">IF(F231=Cadastros!$E$6,3,IF(F231=Cadastros!$E$7,6,IF(F231=Cadastros!$E$8,12,1)))</f>
        <v>1</v>
      </c>
    </row>
    <row r="232" customFormat="false" ht="15" hidden="false" customHeight="false" outlineLevel="0" collapsed="false">
      <c r="A232" s="49" t="str">
        <f aca="false">IF(B232="","",ROW()-4)</f>
        <v/>
      </c>
      <c r="B232" s="50"/>
      <c r="C232" s="50"/>
      <c r="D232" s="50"/>
      <c r="E232" s="51"/>
      <c r="F232" s="51"/>
      <c r="G232" s="51"/>
      <c r="H232" s="52"/>
      <c r="I232" s="53"/>
      <c r="J232" s="54"/>
      <c r="K232" s="53"/>
      <c r="L232" s="54"/>
      <c r="M232" s="55" t="str">
        <f aca="false">IF(L232="","",L232-J232)</f>
        <v/>
      </c>
      <c r="N232" s="56" t="str">
        <f aca="true">IF(I232="","",IF(K232&lt;&gt;"","PAGO",IF(I232&lt;TODAY(),"VENCIDO",IF(I232=TODAY(),"VENCE HOJE","A VENCER"))))</f>
        <v/>
      </c>
      <c r="O232" s="57" t="str">
        <f aca="true">IF(OR(I232="",K232&lt;&gt;""),"",I232-TODAY())</f>
        <v/>
      </c>
      <c r="P232" s="51"/>
      <c r="Q232" s="51"/>
      <c r="R232" s="51"/>
      <c r="S232" s="50"/>
      <c r="T232" s="50"/>
      <c r="U232" s="52"/>
      <c r="V232" s="58" t="n">
        <f aca="false">IF(OR(B232="",I232="",F232="",F232=Cadastros!$E$4,F232=Cadastros!$E$9),999999,IF(COUNTIFS($B$5:$B$504,B232,$I$5:$I$504,"&gt;"&amp;I232)=0,YEAR(I232)*12+MONTH(I232),999999))</f>
        <v>999999</v>
      </c>
      <c r="W232" s="58" t="n">
        <f aca="false">IF(U232="",999999,YEAR(U232)*12+MONTH(U232))</f>
        <v>999999</v>
      </c>
      <c r="X232" s="58" t="n">
        <f aca="false">IF(F232=Cadastros!$E$6,3,IF(F232=Cadastros!$E$7,6,IF(F232=Cadastros!$E$8,12,1)))</f>
        <v>1</v>
      </c>
    </row>
    <row r="233" customFormat="false" ht="15" hidden="false" customHeight="false" outlineLevel="0" collapsed="false">
      <c r="A233" s="49" t="str">
        <f aca="false">IF(B233="","",ROW()-4)</f>
        <v/>
      </c>
      <c r="B233" s="50"/>
      <c r="C233" s="50"/>
      <c r="D233" s="50"/>
      <c r="E233" s="51"/>
      <c r="F233" s="51"/>
      <c r="G233" s="51"/>
      <c r="H233" s="52"/>
      <c r="I233" s="53"/>
      <c r="J233" s="54"/>
      <c r="K233" s="53"/>
      <c r="L233" s="54"/>
      <c r="M233" s="55" t="str">
        <f aca="false">IF(L233="","",L233-J233)</f>
        <v/>
      </c>
      <c r="N233" s="56" t="str">
        <f aca="true">IF(I233="","",IF(K233&lt;&gt;"","PAGO",IF(I233&lt;TODAY(),"VENCIDO",IF(I233=TODAY(),"VENCE HOJE","A VENCER"))))</f>
        <v/>
      </c>
      <c r="O233" s="57" t="str">
        <f aca="true">IF(OR(I233="",K233&lt;&gt;""),"",I233-TODAY())</f>
        <v/>
      </c>
      <c r="P233" s="51"/>
      <c r="Q233" s="51"/>
      <c r="R233" s="51"/>
      <c r="S233" s="50"/>
      <c r="T233" s="50"/>
      <c r="U233" s="52"/>
      <c r="V233" s="58" t="n">
        <f aca="false">IF(OR(B233="",I233="",F233="",F233=Cadastros!$E$4,F233=Cadastros!$E$9),999999,IF(COUNTIFS($B$5:$B$504,B233,$I$5:$I$504,"&gt;"&amp;I233)=0,YEAR(I233)*12+MONTH(I233),999999))</f>
        <v>999999</v>
      </c>
      <c r="W233" s="58" t="n">
        <f aca="false">IF(U233="",999999,YEAR(U233)*12+MONTH(U233))</f>
        <v>999999</v>
      </c>
      <c r="X233" s="58" t="n">
        <f aca="false">IF(F233=Cadastros!$E$6,3,IF(F233=Cadastros!$E$7,6,IF(F233=Cadastros!$E$8,12,1)))</f>
        <v>1</v>
      </c>
    </row>
    <row r="234" customFormat="false" ht="15" hidden="false" customHeight="false" outlineLevel="0" collapsed="false">
      <c r="A234" s="49" t="str">
        <f aca="false">IF(B234="","",ROW()-4)</f>
        <v/>
      </c>
      <c r="B234" s="50"/>
      <c r="C234" s="50"/>
      <c r="D234" s="50"/>
      <c r="E234" s="51"/>
      <c r="F234" s="51"/>
      <c r="G234" s="51"/>
      <c r="H234" s="52"/>
      <c r="I234" s="53"/>
      <c r="J234" s="54"/>
      <c r="K234" s="53"/>
      <c r="L234" s="54"/>
      <c r="M234" s="55" t="str">
        <f aca="false">IF(L234="","",L234-J234)</f>
        <v/>
      </c>
      <c r="N234" s="56" t="str">
        <f aca="true">IF(I234="","",IF(K234&lt;&gt;"","PAGO",IF(I234&lt;TODAY(),"VENCIDO",IF(I234=TODAY(),"VENCE HOJE","A VENCER"))))</f>
        <v/>
      </c>
      <c r="O234" s="57" t="str">
        <f aca="true">IF(OR(I234="",K234&lt;&gt;""),"",I234-TODAY())</f>
        <v/>
      </c>
      <c r="P234" s="51"/>
      <c r="Q234" s="51"/>
      <c r="R234" s="51"/>
      <c r="S234" s="50"/>
      <c r="T234" s="50"/>
      <c r="U234" s="52"/>
      <c r="V234" s="58" t="n">
        <f aca="false">IF(OR(B234="",I234="",F234="",F234=Cadastros!$E$4,F234=Cadastros!$E$9),999999,IF(COUNTIFS($B$5:$B$504,B234,$I$5:$I$504,"&gt;"&amp;I234)=0,YEAR(I234)*12+MONTH(I234),999999))</f>
        <v>999999</v>
      </c>
      <c r="W234" s="58" t="n">
        <f aca="false">IF(U234="",999999,YEAR(U234)*12+MONTH(U234))</f>
        <v>999999</v>
      </c>
      <c r="X234" s="58" t="n">
        <f aca="false">IF(F234=Cadastros!$E$6,3,IF(F234=Cadastros!$E$7,6,IF(F234=Cadastros!$E$8,12,1)))</f>
        <v>1</v>
      </c>
    </row>
    <row r="235" customFormat="false" ht="15" hidden="false" customHeight="false" outlineLevel="0" collapsed="false">
      <c r="A235" s="49" t="str">
        <f aca="false">IF(B235="","",ROW()-4)</f>
        <v/>
      </c>
      <c r="B235" s="50"/>
      <c r="C235" s="50"/>
      <c r="D235" s="50"/>
      <c r="E235" s="51"/>
      <c r="F235" s="51"/>
      <c r="G235" s="51"/>
      <c r="H235" s="52"/>
      <c r="I235" s="53"/>
      <c r="J235" s="54"/>
      <c r="K235" s="53"/>
      <c r="L235" s="54"/>
      <c r="M235" s="55" t="str">
        <f aca="false">IF(L235="","",L235-J235)</f>
        <v/>
      </c>
      <c r="N235" s="56" t="str">
        <f aca="true">IF(I235="","",IF(K235&lt;&gt;"","PAGO",IF(I235&lt;TODAY(),"VENCIDO",IF(I235=TODAY(),"VENCE HOJE","A VENCER"))))</f>
        <v/>
      </c>
      <c r="O235" s="57" t="str">
        <f aca="true">IF(OR(I235="",K235&lt;&gt;""),"",I235-TODAY())</f>
        <v/>
      </c>
      <c r="P235" s="51"/>
      <c r="Q235" s="51"/>
      <c r="R235" s="51"/>
      <c r="S235" s="50"/>
      <c r="T235" s="50"/>
      <c r="U235" s="52"/>
      <c r="V235" s="58" t="n">
        <f aca="false">IF(OR(B235="",I235="",F235="",F235=Cadastros!$E$4,F235=Cadastros!$E$9),999999,IF(COUNTIFS($B$5:$B$504,B235,$I$5:$I$504,"&gt;"&amp;I235)=0,YEAR(I235)*12+MONTH(I235),999999))</f>
        <v>999999</v>
      </c>
      <c r="W235" s="58" t="n">
        <f aca="false">IF(U235="",999999,YEAR(U235)*12+MONTH(U235))</f>
        <v>999999</v>
      </c>
      <c r="X235" s="58" t="n">
        <f aca="false">IF(F235=Cadastros!$E$6,3,IF(F235=Cadastros!$E$7,6,IF(F235=Cadastros!$E$8,12,1)))</f>
        <v>1</v>
      </c>
    </row>
    <row r="236" customFormat="false" ht="15" hidden="false" customHeight="false" outlineLevel="0" collapsed="false">
      <c r="A236" s="49" t="str">
        <f aca="false">IF(B236="","",ROW()-4)</f>
        <v/>
      </c>
      <c r="B236" s="50"/>
      <c r="C236" s="50"/>
      <c r="D236" s="50"/>
      <c r="E236" s="51"/>
      <c r="F236" s="51"/>
      <c r="G236" s="51"/>
      <c r="H236" s="52"/>
      <c r="I236" s="53"/>
      <c r="J236" s="54"/>
      <c r="K236" s="53"/>
      <c r="L236" s="54"/>
      <c r="M236" s="55" t="str">
        <f aca="false">IF(L236="","",L236-J236)</f>
        <v/>
      </c>
      <c r="N236" s="56" t="str">
        <f aca="true">IF(I236="","",IF(K236&lt;&gt;"","PAGO",IF(I236&lt;TODAY(),"VENCIDO",IF(I236=TODAY(),"VENCE HOJE","A VENCER"))))</f>
        <v/>
      </c>
      <c r="O236" s="57" t="str">
        <f aca="true">IF(OR(I236="",K236&lt;&gt;""),"",I236-TODAY())</f>
        <v/>
      </c>
      <c r="P236" s="51"/>
      <c r="Q236" s="51"/>
      <c r="R236" s="51"/>
      <c r="S236" s="50"/>
      <c r="T236" s="50"/>
      <c r="U236" s="52"/>
      <c r="V236" s="58" t="n">
        <f aca="false">IF(OR(B236="",I236="",F236="",F236=Cadastros!$E$4,F236=Cadastros!$E$9),999999,IF(COUNTIFS($B$5:$B$504,B236,$I$5:$I$504,"&gt;"&amp;I236)=0,YEAR(I236)*12+MONTH(I236),999999))</f>
        <v>999999</v>
      </c>
      <c r="W236" s="58" t="n">
        <f aca="false">IF(U236="",999999,YEAR(U236)*12+MONTH(U236))</f>
        <v>999999</v>
      </c>
      <c r="X236" s="58" t="n">
        <f aca="false">IF(F236=Cadastros!$E$6,3,IF(F236=Cadastros!$E$7,6,IF(F236=Cadastros!$E$8,12,1)))</f>
        <v>1</v>
      </c>
    </row>
    <row r="237" customFormat="false" ht="15" hidden="false" customHeight="false" outlineLevel="0" collapsed="false">
      <c r="A237" s="49" t="str">
        <f aca="false">IF(B237="","",ROW()-4)</f>
        <v/>
      </c>
      <c r="B237" s="50"/>
      <c r="C237" s="50"/>
      <c r="D237" s="50"/>
      <c r="E237" s="51"/>
      <c r="F237" s="51"/>
      <c r="G237" s="51"/>
      <c r="H237" s="52"/>
      <c r="I237" s="53"/>
      <c r="J237" s="54"/>
      <c r="K237" s="53"/>
      <c r="L237" s="54"/>
      <c r="M237" s="55" t="str">
        <f aca="false">IF(L237="","",L237-J237)</f>
        <v/>
      </c>
      <c r="N237" s="56" t="str">
        <f aca="true">IF(I237="","",IF(K237&lt;&gt;"","PAGO",IF(I237&lt;TODAY(),"VENCIDO",IF(I237=TODAY(),"VENCE HOJE","A VENCER"))))</f>
        <v/>
      </c>
      <c r="O237" s="57" t="str">
        <f aca="true">IF(OR(I237="",K237&lt;&gt;""),"",I237-TODAY())</f>
        <v/>
      </c>
      <c r="P237" s="51"/>
      <c r="Q237" s="51"/>
      <c r="R237" s="51"/>
      <c r="S237" s="50"/>
      <c r="T237" s="50"/>
      <c r="U237" s="52"/>
      <c r="V237" s="58" t="n">
        <f aca="false">IF(OR(B237="",I237="",F237="",F237=Cadastros!$E$4,F237=Cadastros!$E$9),999999,IF(COUNTIFS($B$5:$B$504,B237,$I$5:$I$504,"&gt;"&amp;I237)=0,YEAR(I237)*12+MONTH(I237),999999))</f>
        <v>999999</v>
      </c>
      <c r="W237" s="58" t="n">
        <f aca="false">IF(U237="",999999,YEAR(U237)*12+MONTH(U237))</f>
        <v>999999</v>
      </c>
      <c r="X237" s="58" t="n">
        <f aca="false">IF(F237=Cadastros!$E$6,3,IF(F237=Cadastros!$E$7,6,IF(F237=Cadastros!$E$8,12,1)))</f>
        <v>1</v>
      </c>
    </row>
    <row r="238" customFormat="false" ht="15" hidden="false" customHeight="false" outlineLevel="0" collapsed="false">
      <c r="A238" s="49" t="str">
        <f aca="false">IF(B238="","",ROW()-4)</f>
        <v/>
      </c>
      <c r="B238" s="50"/>
      <c r="C238" s="50"/>
      <c r="D238" s="50"/>
      <c r="E238" s="51"/>
      <c r="F238" s="51"/>
      <c r="G238" s="51"/>
      <c r="H238" s="52"/>
      <c r="I238" s="53"/>
      <c r="J238" s="54"/>
      <c r="K238" s="53"/>
      <c r="L238" s="54"/>
      <c r="M238" s="55" t="str">
        <f aca="false">IF(L238="","",L238-J238)</f>
        <v/>
      </c>
      <c r="N238" s="56" t="str">
        <f aca="true">IF(I238="","",IF(K238&lt;&gt;"","PAGO",IF(I238&lt;TODAY(),"VENCIDO",IF(I238=TODAY(),"VENCE HOJE","A VENCER"))))</f>
        <v/>
      </c>
      <c r="O238" s="57" t="str">
        <f aca="true">IF(OR(I238="",K238&lt;&gt;""),"",I238-TODAY())</f>
        <v/>
      </c>
      <c r="P238" s="51"/>
      <c r="Q238" s="51"/>
      <c r="R238" s="51"/>
      <c r="S238" s="50"/>
      <c r="T238" s="50"/>
      <c r="U238" s="52"/>
      <c r="V238" s="58" t="n">
        <f aca="false">IF(OR(B238="",I238="",F238="",F238=Cadastros!$E$4,F238=Cadastros!$E$9),999999,IF(COUNTIFS($B$5:$B$504,B238,$I$5:$I$504,"&gt;"&amp;I238)=0,YEAR(I238)*12+MONTH(I238),999999))</f>
        <v>999999</v>
      </c>
      <c r="W238" s="58" t="n">
        <f aca="false">IF(U238="",999999,YEAR(U238)*12+MONTH(U238))</f>
        <v>999999</v>
      </c>
      <c r="X238" s="58" t="n">
        <f aca="false">IF(F238=Cadastros!$E$6,3,IF(F238=Cadastros!$E$7,6,IF(F238=Cadastros!$E$8,12,1)))</f>
        <v>1</v>
      </c>
    </row>
    <row r="239" customFormat="false" ht="15" hidden="false" customHeight="false" outlineLevel="0" collapsed="false">
      <c r="A239" s="49" t="str">
        <f aca="false">IF(B239="","",ROW()-4)</f>
        <v/>
      </c>
      <c r="B239" s="50"/>
      <c r="C239" s="50"/>
      <c r="D239" s="50"/>
      <c r="E239" s="51"/>
      <c r="F239" s="51"/>
      <c r="G239" s="51"/>
      <c r="H239" s="52"/>
      <c r="I239" s="53"/>
      <c r="J239" s="54"/>
      <c r="K239" s="53"/>
      <c r="L239" s="54"/>
      <c r="M239" s="55" t="str">
        <f aca="false">IF(L239="","",L239-J239)</f>
        <v/>
      </c>
      <c r="N239" s="56" t="str">
        <f aca="true">IF(I239="","",IF(K239&lt;&gt;"","PAGO",IF(I239&lt;TODAY(),"VENCIDO",IF(I239=TODAY(),"VENCE HOJE","A VENCER"))))</f>
        <v/>
      </c>
      <c r="O239" s="57" t="str">
        <f aca="true">IF(OR(I239="",K239&lt;&gt;""),"",I239-TODAY())</f>
        <v/>
      </c>
      <c r="P239" s="51"/>
      <c r="Q239" s="51"/>
      <c r="R239" s="51"/>
      <c r="S239" s="50"/>
      <c r="T239" s="50"/>
      <c r="U239" s="52"/>
      <c r="V239" s="58" t="n">
        <f aca="false">IF(OR(B239="",I239="",F239="",F239=Cadastros!$E$4,F239=Cadastros!$E$9),999999,IF(COUNTIFS($B$5:$B$504,B239,$I$5:$I$504,"&gt;"&amp;I239)=0,YEAR(I239)*12+MONTH(I239),999999))</f>
        <v>999999</v>
      </c>
      <c r="W239" s="58" t="n">
        <f aca="false">IF(U239="",999999,YEAR(U239)*12+MONTH(U239))</f>
        <v>999999</v>
      </c>
      <c r="X239" s="58" t="n">
        <f aca="false">IF(F239=Cadastros!$E$6,3,IF(F239=Cadastros!$E$7,6,IF(F239=Cadastros!$E$8,12,1)))</f>
        <v>1</v>
      </c>
    </row>
    <row r="240" customFormat="false" ht="15" hidden="false" customHeight="false" outlineLevel="0" collapsed="false">
      <c r="A240" s="49" t="str">
        <f aca="false">IF(B240="","",ROW()-4)</f>
        <v/>
      </c>
      <c r="B240" s="50"/>
      <c r="C240" s="50"/>
      <c r="D240" s="50"/>
      <c r="E240" s="51"/>
      <c r="F240" s="51"/>
      <c r="G240" s="51"/>
      <c r="H240" s="52"/>
      <c r="I240" s="53"/>
      <c r="J240" s="54"/>
      <c r="K240" s="53"/>
      <c r="L240" s="54"/>
      <c r="M240" s="55" t="str">
        <f aca="false">IF(L240="","",L240-J240)</f>
        <v/>
      </c>
      <c r="N240" s="56" t="str">
        <f aca="true">IF(I240="","",IF(K240&lt;&gt;"","PAGO",IF(I240&lt;TODAY(),"VENCIDO",IF(I240=TODAY(),"VENCE HOJE","A VENCER"))))</f>
        <v/>
      </c>
      <c r="O240" s="57" t="str">
        <f aca="true">IF(OR(I240="",K240&lt;&gt;""),"",I240-TODAY())</f>
        <v/>
      </c>
      <c r="P240" s="51"/>
      <c r="Q240" s="51"/>
      <c r="R240" s="51"/>
      <c r="S240" s="50"/>
      <c r="T240" s="50"/>
      <c r="U240" s="52"/>
      <c r="V240" s="58" t="n">
        <f aca="false">IF(OR(B240="",I240="",F240="",F240=Cadastros!$E$4,F240=Cadastros!$E$9),999999,IF(COUNTIFS($B$5:$B$504,B240,$I$5:$I$504,"&gt;"&amp;I240)=0,YEAR(I240)*12+MONTH(I240),999999))</f>
        <v>999999</v>
      </c>
      <c r="W240" s="58" t="n">
        <f aca="false">IF(U240="",999999,YEAR(U240)*12+MONTH(U240))</f>
        <v>999999</v>
      </c>
      <c r="X240" s="58" t="n">
        <f aca="false">IF(F240=Cadastros!$E$6,3,IF(F240=Cadastros!$E$7,6,IF(F240=Cadastros!$E$8,12,1)))</f>
        <v>1</v>
      </c>
    </row>
    <row r="241" customFormat="false" ht="15" hidden="false" customHeight="false" outlineLevel="0" collapsed="false">
      <c r="A241" s="49" t="str">
        <f aca="false">IF(B241="","",ROW()-4)</f>
        <v/>
      </c>
      <c r="B241" s="50"/>
      <c r="C241" s="50"/>
      <c r="D241" s="50"/>
      <c r="E241" s="51"/>
      <c r="F241" s="51"/>
      <c r="G241" s="51"/>
      <c r="H241" s="52"/>
      <c r="I241" s="53"/>
      <c r="J241" s="54"/>
      <c r="K241" s="53"/>
      <c r="L241" s="54"/>
      <c r="M241" s="55" t="str">
        <f aca="false">IF(L241="","",L241-J241)</f>
        <v/>
      </c>
      <c r="N241" s="56" t="str">
        <f aca="true">IF(I241="","",IF(K241&lt;&gt;"","PAGO",IF(I241&lt;TODAY(),"VENCIDO",IF(I241=TODAY(),"VENCE HOJE","A VENCER"))))</f>
        <v/>
      </c>
      <c r="O241" s="57" t="str">
        <f aca="true">IF(OR(I241="",K241&lt;&gt;""),"",I241-TODAY())</f>
        <v/>
      </c>
      <c r="P241" s="51"/>
      <c r="Q241" s="51"/>
      <c r="R241" s="51"/>
      <c r="S241" s="50"/>
      <c r="T241" s="50"/>
      <c r="U241" s="52"/>
      <c r="V241" s="58" t="n">
        <f aca="false">IF(OR(B241="",I241="",F241="",F241=Cadastros!$E$4,F241=Cadastros!$E$9),999999,IF(COUNTIFS($B$5:$B$504,B241,$I$5:$I$504,"&gt;"&amp;I241)=0,YEAR(I241)*12+MONTH(I241),999999))</f>
        <v>999999</v>
      </c>
      <c r="W241" s="58" t="n">
        <f aca="false">IF(U241="",999999,YEAR(U241)*12+MONTH(U241))</f>
        <v>999999</v>
      </c>
      <c r="X241" s="58" t="n">
        <f aca="false">IF(F241=Cadastros!$E$6,3,IF(F241=Cadastros!$E$7,6,IF(F241=Cadastros!$E$8,12,1)))</f>
        <v>1</v>
      </c>
    </row>
    <row r="242" customFormat="false" ht="15" hidden="false" customHeight="false" outlineLevel="0" collapsed="false">
      <c r="A242" s="49" t="str">
        <f aca="false">IF(B242="","",ROW()-4)</f>
        <v/>
      </c>
      <c r="B242" s="50"/>
      <c r="C242" s="50"/>
      <c r="D242" s="50"/>
      <c r="E242" s="51"/>
      <c r="F242" s="51"/>
      <c r="G242" s="51"/>
      <c r="H242" s="52"/>
      <c r="I242" s="53"/>
      <c r="J242" s="54"/>
      <c r="K242" s="53"/>
      <c r="L242" s="54"/>
      <c r="M242" s="55" t="str">
        <f aca="false">IF(L242="","",L242-J242)</f>
        <v/>
      </c>
      <c r="N242" s="56" t="str">
        <f aca="true">IF(I242="","",IF(K242&lt;&gt;"","PAGO",IF(I242&lt;TODAY(),"VENCIDO",IF(I242=TODAY(),"VENCE HOJE","A VENCER"))))</f>
        <v/>
      </c>
      <c r="O242" s="57" t="str">
        <f aca="true">IF(OR(I242="",K242&lt;&gt;""),"",I242-TODAY())</f>
        <v/>
      </c>
      <c r="P242" s="51"/>
      <c r="Q242" s="51"/>
      <c r="R242" s="51"/>
      <c r="S242" s="50"/>
      <c r="T242" s="50"/>
      <c r="U242" s="52"/>
      <c r="V242" s="58" t="n">
        <f aca="false">IF(OR(B242="",I242="",F242="",F242=Cadastros!$E$4,F242=Cadastros!$E$9),999999,IF(COUNTIFS($B$5:$B$504,B242,$I$5:$I$504,"&gt;"&amp;I242)=0,YEAR(I242)*12+MONTH(I242),999999))</f>
        <v>999999</v>
      </c>
      <c r="W242" s="58" t="n">
        <f aca="false">IF(U242="",999999,YEAR(U242)*12+MONTH(U242))</f>
        <v>999999</v>
      </c>
      <c r="X242" s="58" t="n">
        <f aca="false">IF(F242=Cadastros!$E$6,3,IF(F242=Cadastros!$E$7,6,IF(F242=Cadastros!$E$8,12,1)))</f>
        <v>1</v>
      </c>
    </row>
    <row r="243" customFormat="false" ht="15" hidden="false" customHeight="false" outlineLevel="0" collapsed="false">
      <c r="A243" s="49" t="str">
        <f aca="false">IF(B243="","",ROW()-4)</f>
        <v/>
      </c>
      <c r="B243" s="50"/>
      <c r="C243" s="50"/>
      <c r="D243" s="50"/>
      <c r="E243" s="51"/>
      <c r="F243" s="51"/>
      <c r="G243" s="51"/>
      <c r="H243" s="52"/>
      <c r="I243" s="53"/>
      <c r="J243" s="54"/>
      <c r="K243" s="53"/>
      <c r="L243" s="54"/>
      <c r="M243" s="55" t="str">
        <f aca="false">IF(L243="","",L243-J243)</f>
        <v/>
      </c>
      <c r="N243" s="56" t="str">
        <f aca="true">IF(I243="","",IF(K243&lt;&gt;"","PAGO",IF(I243&lt;TODAY(),"VENCIDO",IF(I243=TODAY(),"VENCE HOJE","A VENCER"))))</f>
        <v/>
      </c>
      <c r="O243" s="57" t="str">
        <f aca="true">IF(OR(I243="",K243&lt;&gt;""),"",I243-TODAY())</f>
        <v/>
      </c>
      <c r="P243" s="51"/>
      <c r="Q243" s="51"/>
      <c r="R243" s="51"/>
      <c r="S243" s="50"/>
      <c r="T243" s="50"/>
      <c r="U243" s="52"/>
      <c r="V243" s="58" t="n">
        <f aca="false">IF(OR(B243="",I243="",F243="",F243=Cadastros!$E$4,F243=Cadastros!$E$9),999999,IF(COUNTIFS($B$5:$B$504,B243,$I$5:$I$504,"&gt;"&amp;I243)=0,YEAR(I243)*12+MONTH(I243),999999))</f>
        <v>999999</v>
      </c>
      <c r="W243" s="58" t="n">
        <f aca="false">IF(U243="",999999,YEAR(U243)*12+MONTH(U243))</f>
        <v>999999</v>
      </c>
      <c r="X243" s="58" t="n">
        <f aca="false">IF(F243=Cadastros!$E$6,3,IF(F243=Cadastros!$E$7,6,IF(F243=Cadastros!$E$8,12,1)))</f>
        <v>1</v>
      </c>
    </row>
    <row r="244" customFormat="false" ht="15" hidden="false" customHeight="false" outlineLevel="0" collapsed="false">
      <c r="A244" s="49" t="str">
        <f aca="false">IF(B244="","",ROW()-4)</f>
        <v/>
      </c>
      <c r="B244" s="50"/>
      <c r="C244" s="50"/>
      <c r="D244" s="50"/>
      <c r="E244" s="51"/>
      <c r="F244" s="51"/>
      <c r="G244" s="51"/>
      <c r="H244" s="52"/>
      <c r="I244" s="53"/>
      <c r="J244" s="54"/>
      <c r="K244" s="53"/>
      <c r="L244" s="54"/>
      <c r="M244" s="55" t="str">
        <f aca="false">IF(L244="","",L244-J244)</f>
        <v/>
      </c>
      <c r="N244" s="56" t="str">
        <f aca="true">IF(I244="","",IF(K244&lt;&gt;"","PAGO",IF(I244&lt;TODAY(),"VENCIDO",IF(I244=TODAY(),"VENCE HOJE","A VENCER"))))</f>
        <v/>
      </c>
      <c r="O244" s="57" t="str">
        <f aca="true">IF(OR(I244="",K244&lt;&gt;""),"",I244-TODAY())</f>
        <v/>
      </c>
      <c r="P244" s="51"/>
      <c r="Q244" s="51"/>
      <c r="R244" s="51"/>
      <c r="S244" s="50"/>
      <c r="T244" s="50"/>
      <c r="U244" s="52"/>
      <c r="V244" s="58" t="n">
        <f aca="false">IF(OR(B244="",I244="",F244="",F244=Cadastros!$E$4,F244=Cadastros!$E$9),999999,IF(COUNTIFS($B$5:$B$504,B244,$I$5:$I$504,"&gt;"&amp;I244)=0,YEAR(I244)*12+MONTH(I244),999999))</f>
        <v>999999</v>
      </c>
      <c r="W244" s="58" t="n">
        <f aca="false">IF(U244="",999999,YEAR(U244)*12+MONTH(U244))</f>
        <v>999999</v>
      </c>
      <c r="X244" s="58" t="n">
        <f aca="false">IF(F244=Cadastros!$E$6,3,IF(F244=Cadastros!$E$7,6,IF(F244=Cadastros!$E$8,12,1)))</f>
        <v>1</v>
      </c>
    </row>
    <row r="245" customFormat="false" ht="15" hidden="false" customHeight="false" outlineLevel="0" collapsed="false">
      <c r="A245" s="49" t="str">
        <f aca="false">IF(B245="","",ROW()-4)</f>
        <v/>
      </c>
      <c r="B245" s="50"/>
      <c r="C245" s="50"/>
      <c r="D245" s="50"/>
      <c r="E245" s="51"/>
      <c r="F245" s="51"/>
      <c r="G245" s="51"/>
      <c r="H245" s="52"/>
      <c r="I245" s="53"/>
      <c r="J245" s="54"/>
      <c r="K245" s="53"/>
      <c r="L245" s="54"/>
      <c r="M245" s="55" t="str">
        <f aca="false">IF(L245="","",L245-J245)</f>
        <v/>
      </c>
      <c r="N245" s="56" t="str">
        <f aca="true">IF(I245="","",IF(K245&lt;&gt;"","PAGO",IF(I245&lt;TODAY(),"VENCIDO",IF(I245=TODAY(),"VENCE HOJE","A VENCER"))))</f>
        <v/>
      </c>
      <c r="O245" s="57" t="str">
        <f aca="true">IF(OR(I245="",K245&lt;&gt;""),"",I245-TODAY())</f>
        <v/>
      </c>
      <c r="P245" s="51"/>
      <c r="Q245" s="51"/>
      <c r="R245" s="51"/>
      <c r="S245" s="50"/>
      <c r="T245" s="50"/>
      <c r="U245" s="52"/>
      <c r="V245" s="58" t="n">
        <f aca="false">IF(OR(B245="",I245="",F245="",F245=Cadastros!$E$4,F245=Cadastros!$E$9),999999,IF(COUNTIFS($B$5:$B$504,B245,$I$5:$I$504,"&gt;"&amp;I245)=0,YEAR(I245)*12+MONTH(I245),999999))</f>
        <v>999999</v>
      </c>
      <c r="W245" s="58" t="n">
        <f aca="false">IF(U245="",999999,YEAR(U245)*12+MONTH(U245))</f>
        <v>999999</v>
      </c>
      <c r="X245" s="58" t="n">
        <f aca="false">IF(F245=Cadastros!$E$6,3,IF(F245=Cadastros!$E$7,6,IF(F245=Cadastros!$E$8,12,1)))</f>
        <v>1</v>
      </c>
    </row>
    <row r="246" customFormat="false" ht="15" hidden="false" customHeight="false" outlineLevel="0" collapsed="false">
      <c r="A246" s="49" t="str">
        <f aca="false">IF(B246="","",ROW()-4)</f>
        <v/>
      </c>
      <c r="B246" s="50"/>
      <c r="C246" s="50"/>
      <c r="D246" s="50"/>
      <c r="E246" s="51"/>
      <c r="F246" s="51"/>
      <c r="G246" s="51"/>
      <c r="H246" s="52"/>
      <c r="I246" s="53"/>
      <c r="J246" s="54"/>
      <c r="K246" s="53"/>
      <c r="L246" s="54"/>
      <c r="M246" s="55" t="str">
        <f aca="false">IF(L246="","",L246-J246)</f>
        <v/>
      </c>
      <c r="N246" s="56" t="str">
        <f aca="true">IF(I246="","",IF(K246&lt;&gt;"","PAGO",IF(I246&lt;TODAY(),"VENCIDO",IF(I246=TODAY(),"VENCE HOJE","A VENCER"))))</f>
        <v/>
      </c>
      <c r="O246" s="57" t="str">
        <f aca="true">IF(OR(I246="",K246&lt;&gt;""),"",I246-TODAY())</f>
        <v/>
      </c>
      <c r="P246" s="51"/>
      <c r="Q246" s="51"/>
      <c r="R246" s="51"/>
      <c r="S246" s="50"/>
      <c r="T246" s="50"/>
      <c r="U246" s="52"/>
      <c r="V246" s="58" t="n">
        <f aca="false">IF(OR(B246="",I246="",F246="",F246=Cadastros!$E$4,F246=Cadastros!$E$9),999999,IF(COUNTIFS($B$5:$B$504,B246,$I$5:$I$504,"&gt;"&amp;I246)=0,YEAR(I246)*12+MONTH(I246),999999))</f>
        <v>999999</v>
      </c>
      <c r="W246" s="58" t="n">
        <f aca="false">IF(U246="",999999,YEAR(U246)*12+MONTH(U246))</f>
        <v>999999</v>
      </c>
      <c r="X246" s="58" t="n">
        <f aca="false">IF(F246=Cadastros!$E$6,3,IF(F246=Cadastros!$E$7,6,IF(F246=Cadastros!$E$8,12,1)))</f>
        <v>1</v>
      </c>
    </row>
    <row r="247" customFormat="false" ht="15" hidden="false" customHeight="false" outlineLevel="0" collapsed="false">
      <c r="A247" s="49" t="str">
        <f aca="false">IF(B247="","",ROW()-4)</f>
        <v/>
      </c>
      <c r="B247" s="50"/>
      <c r="C247" s="50"/>
      <c r="D247" s="50"/>
      <c r="E247" s="51"/>
      <c r="F247" s="51"/>
      <c r="G247" s="51"/>
      <c r="H247" s="52"/>
      <c r="I247" s="53"/>
      <c r="J247" s="54"/>
      <c r="K247" s="53"/>
      <c r="L247" s="54"/>
      <c r="M247" s="55" t="str">
        <f aca="false">IF(L247="","",L247-J247)</f>
        <v/>
      </c>
      <c r="N247" s="56" t="str">
        <f aca="true">IF(I247="","",IF(K247&lt;&gt;"","PAGO",IF(I247&lt;TODAY(),"VENCIDO",IF(I247=TODAY(),"VENCE HOJE","A VENCER"))))</f>
        <v/>
      </c>
      <c r="O247" s="57" t="str">
        <f aca="true">IF(OR(I247="",K247&lt;&gt;""),"",I247-TODAY())</f>
        <v/>
      </c>
      <c r="P247" s="51"/>
      <c r="Q247" s="51"/>
      <c r="R247" s="51"/>
      <c r="S247" s="50"/>
      <c r="T247" s="50"/>
      <c r="U247" s="52"/>
      <c r="V247" s="58" t="n">
        <f aca="false">IF(OR(B247="",I247="",F247="",F247=Cadastros!$E$4,F247=Cadastros!$E$9),999999,IF(COUNTIFS($B$5:$B$504,B247,$I$5:$I$504,"&gt;"&amp;I247)=0,YEAR(I247)*12+MONTH(I247),999999))</f>
        <v>999999</v>
      </c>
      <c r="W247" s="58" t="n">
        <f aca="false">IF(U247="",999999,YEAR(U247)*12+MONTH(U247))</f>
        <v>999999</v>
      </c>
      <c r="X247" s="58" t="n">
        <f aca="false">IF(F247=Cadastros!$E$6,3,IF(F247=Cadastros!$E$7,6,IF(F247=Cadastros!$E$8,12,1)))</f>
        <v>1</v>
      </c>
    </row>
    <row r="248" customFormat="false" ht="15" hidden="false" customHeight="false" outlineLevel="0" collapsed="false">
      <c r="A248" s="49" t="str">
        <f aca="false">IF(B248="","",ROW()-4)</f>
        <v/>
      </c>
      <c r="B248" s="50"/>
      <c r="C248" s="50"/>
      <c r="D248" s="50"/>
      <c r="E248" s="51"/>
      <c r="F248" s="51"/>
      <c r="G248" s="51"/>
      <c r="H248" s="52"/>
      <c r="I248" s="53"/>
      <c r="J248" s="54"/>
      <c r="K248" s="53"/>
      <c r="L248" s="54"/>
      <c r="M248" s="55" t="str">
        <f aca="false">IF(L248="","",L248-J248)</f>
        <v/>
      </c>
      <c r="N248" s="56" t="str">
        <f aca="true">IF(I248="","",IF(K248&lt;&gt;"","PAGO",IF(I248&lt;TODAY(),"VENCIDO",IF(I248=TODAY(),"VENCE HOJE","A VENCER"))))</f>
        <v/>
      </c>
      <c r="O248" s="57" t="str">
        <f aca="true">IF(OR(I248="",K248&lt;&gt;""),"",I248-TODAY())</f>
        <v/>
      </c>
      <c r="P248" s="51"/>
      <c r="Q248" s="51"/>
      <c r="R248" s="51"/>
      <c r="S248" s="50"/>
      <c r="T248" s="50"/>
      <c r="U248" s="52"/>
      <c r="V248" s="58" t="n">
        <f aca="false">IF(OR(B248="",I248="",F248="",F248=Cadastros!$E$4,F248=Cadastros!$E$9),999999,IF(COUNTIFS($B$5:$B$504,B248,$I$5:$I$504,"&gt;"&amp;I248)=0,YEAR(I248)*12+MONTH(I248),999999))</f>
        <v>999999</v>
      </c>
      <c r="W248" s="58" t="n">
        <f aca="false">IF(U248="",999999,YEAR(U248)*12+MONTH(U248))</f>
        <v>999999</v>
      </c>
      <c r="X248" s="58" t="n">
        <f aca="false">IF(F248=Cadastros!$E$6,3,IF(F248=Cadastros!$E$7,6,IF(F248=Cadastros!$E$8,12,1)))</f>
        <v>1</v>
      </c>
    </row>
    <row r="249" customFormat="false" ht="15" hidden="false" customHeight="false" outlineLevel="0" collapsed="false">
      <c r="A249" s="49" t="str">
        <f aca="false">IF(B249="","",ROW()-4)</f>
        <v/>
      </c>
      <c r="B249" s="50"/>
      <c r="C249" s="50"/>
      <c r="D249" s="50"/>
      <c r="E249" s="51"/>
      <c r="F249" s="51"/>
      <c r="G249" s="51"/>
      <c r="H249" s="52"/>
      <c r="I249" s="53"/>
      <c r="J249" s="54"/>
      <c r="K249" s="53"/>
      <c r="L249" s="54"/>
      <c r="M249" s="55" t="str">
        <f aca="false">IF(L249="","",L249-J249)</f>
        <v/>
      </c>
      <c r="N249" s="56" t="str">
        <f aca="true">IF(I249="","",IF(K249&lt;&gt;"","PAGO",IF(I249&lt;TODAY(),"VENCIDO",IF(I249=TODAY(),"VENCE HOJE","A VENCER"))))</f>
        <v/>
      </c>
      <c r="O249" s="57" t="str">
        <f aca="true">IF(OR(I249="",K249&lt;&gt;""),"",I249-TODAY())</f>
        <v/>
      </c>
      <c r="P249" s="51"/>
      <c r="Q249" s="51"/>
      <c r="R249" s="51"/>
      <c r="S249" s="50"/>
      <c r="T249" s="50"/>
      <c r="U249" s="52"/>
      <c r="V249" s="58" t="n">
        <f aca="false">IF(OR(B249="",I249="",F249="",F249=Cadastros!$E$4,F249=Cadastros!$E$9),999999,IF(COUNTIFS($B$5:$B$504,B249,$I$5:$I$504,"&gt;"&amp;I249)=0,YEAR(I249)*12+MONTH(I249),999999))</f>
        <v>999999</v>
      </c>
      <c r="W249" s="58" t="n">
        <f aca="false">IF(U249="",999999,YEAR(U249)*12+MONTH(U249))</f>
        <v>999999</v>
      </c>
      <c r="X249" s="58" t="n">
        <f aca="false">IF(F249=Cadastros!$E$6,3,IF(F249=Cadastros!$E$7,6,IF(F249=Cadastros!$E$8,12,1)))</f>
        <v>1</v>
      </c>
    </row>
    <row r="250" customFormat="false" ht="15" hidden="false" customHeight="false" outlineLevel="0" collapsed="false">
      <c r="A250" s="49" t="str">
        <f aca="false">IF(B250="","",ROW()-4)</f>
        <v/>
      </c>
      <c r="B250" s="50"/>
      <c r="C250" s="50"/>
      <c r="D250" s="50"/>
      <c r="E250" s="51"/>
      <c r="F250" s="51"/>
      <c r="G250" s="51"/>
      <c r="H250" s="52"/>
      <c r="I250" s="53"/>
      <c r="J250" s="54"/>
      <c r="K250" s="53"/>
      <c r="L250" s="54"/>
      <c r="M250" s="55" t="str">
        <f aca="false">IF(L250="","",L250-J250)</f>
        <v/>
      </c>
      <c r="N250" s="56" t="str">
        <f aca="true">IF(I250="","",IF(K250&lt;&gt;"","PAGO",IF(I250&lt;TODAY(),"VENCIDO",IF(I250=TODAY(),"VENCE HOJE","A VENCER"))))</f>
        <v/>
      </c>
      <c r="O250" s="57" t="str">
        <f aca="true">IF(OR(I250="",K250&lt;&gt;""),"",I250-TODAY())</f>
        <v/>
      </c>
      <c r="P250" s="51"/>
      <c r="Q250" s="51"/>
      <c r="R250" s="51"/>
      <c r="S250" s="50"/>
      <c r="T250" s="50"/>
      <c r="U250" s="52"/>
      <c r="V250" s="58" t="n">
        <f aca="false">IF(OR(B250="",I250="",F250="",F250=Cadastros!$E$4,F250=Cadastros!$E$9),999999,IF(COUNTIFS($B$5:$B$504,B250,$I$5:$I$504,"&gt;"&amp;I250)=0,YEAR(I250)*12+MONTH(I250),999999))</f>
        <v>999999</v>
      </c>
      <c r="W250" s="58" t="n">
        <f aca="false">IF(U250="",999999,YEAR(U250)*12+MONTH(U250))</f>
        <v>999999</v>
      </c>
      <c r="X250" s="58" t="n">
        <f aca="false">IF(F250=Cadastros!$E$6,3,IF(F250=Cadastros!$E$7,6,IF(F250=Cadastros!$E$8,12,1)))</f>
        <v>1</v>
      </c>
    </row>
    <row r="251" customFormat="false" ht="15" hidden="false" customHeight="false" outlineLevel="0" collapsed="false">
      <c r="A251" s="49" t="str">
        <f aca="false">IF(B251="","",ROW()-4)</f>
        <v/>
      </c>
      <c r="B251" s="50"/>
      <c r="C251" s="50"/>
      <c r="D251" s="50"/>
      <c r="E251" s="51"/>
      <c r="F251" s="51"/>
      <c r="G251" s="51"/>
      <c r="H251" s="52"/>
      <c r="I251" s="53"/>
      <c r="J251" s="54"/>
      <c r="K251" s="53"/>
      <c r="L251" s="54"/>
      <c r="M251" s="55" t="str">
        <f aca="false">IF(L251="","",L251-J251)</f>
        <v/>
      </c>
      <c r="N251" s="56" t="str">
        <f aca="true">IF(I251="","",IF(K251&lt;&gt;"","PAGO",IF(I251&lt;TODAY(),"VENCIDO",IF(I251=TODAY(),"VENCE HOJE","A VENCER"))))</f>
        <v/>
      </c>
      <c r="O251" s="57" t="str">
        <f aca="true">IF(OR(I251="",K251&lt;&gt;""),"",I251-TODAY())</f>
        <v/>
      </c>
      <c r="P251" s="51"/>
      <c r="Q251" s="51"/>
      <c r="R251" s="51"/>
      <c r="S251" s="50"/>
      <c r="T251" s="50"/>
      <c r="U251" s="52"/>
      <c r="V251" s="58" t="n">
        <f aca="false">IF(OR(B251="",I251="",F251="",F251=Cadastros!$E$4,F251=Cadastros!$E$9),999999,IF(COUNTIFS($B$5:$B$504,B251,$I$5:$I$504,"&gt;"&amp;I251)=0,YEAR(I251)*12+MONTH(I251),999999))</f>
        <v>999999</v>
      </c>
      <c r="W251" s="58" t="n">
        <f aca="false">IF(U251="",999999,YEAR(U251)*12+MONTH(U251))</f>
        <v>999999</v>
      </c>
      <c r="X251" s="58" t="n">
        <f aca="false">IF(F251=Cadastros!$E$6,3,IF(F251=Cadastros!$E$7,6,IF(F251=Cadastros!$E$8,12,1)))</f>
        <v>1</v>
      </c>
    </row>
    <row r="252" customFormat="false" ht="15" hidden="false" customHeight="false" outlineLevel="0" collapsed="false">
      <c r="A252" s="49" t="str">
        <f aca="false">IF(B252="","",ROW()-4)</f>
        <v/>
      </c>
      <c r="B252" s="50"/>
      <c r="C252" s="50"/>
      <c r="D252" s="50"/>
      <c r="E252" s="51"/>
      <c r="F252" s="51"/>
      <c r="G252" s="51"/>
      <c r="H252" s="52"/>
      <c r="I252" s="53"/>
      <c r="J252" s="54"/>
      <c r="K252" s="53"/>
      <c r="L252" s="54"/>
      <c r="M252" s="55" t="str">
        <f aca="false">IF(L252="","",L252-J252)</f>
        <v/>
      </c>
      <c r="N252" s="56" t="str">
        <f aca="true">IF(I252="","",IF(K252&lt;&gt;"","PAGO",IF(I252&lt;TODAY(),"VENCIDO",IF(I252=TODAY(),"VENCE HOJE","A VENCER"))))</f>
        <v/>
      </c>
      <c r="O252" s="57" t="str">
        <f aca="true">IF(OR(I252="",K252&lt;&gt;""),"",I252-TODAY())</f>
        <v/>
      </c>
      <c r="P252" s="51"/>
      <c r="Q252" s="51"/>
      <c r="R252" s="51"/>
      <c r="S252" s="50"/>
      <c r="T252" s="50"/>
      <c r="U252" s="52"/>
      <c r="V252" s="58" t="n">
        <f aca="false">IF(OR(B252="",I252="",F252="",F252=Cadastros!$E$4,F252=Cadastros!$E$9),999999,IF(COUNTIFS($B$5:$B$504,B252,$I$5:$I$504,"&gt;"&amp;I252)=0,YEAR(I252)*12+MONTH(I252),999999))</f>
        <v>999999</v>
      </c>
      <c r="W252" s="58" t="n">
        <f aca="false">IF(U252="",999999,YEAR(U252)*12+MONTH(U252))</f>
        <v>999999</v>
      </c>
      <c r="X252" s="58" t="n">
        <f aca="false">IF(F252=Cadastros!$E$6,3,IF(F252=Cadastros!$E$7,6,IF(F252=Cadastros!$E$8,12,1)))</f>
        <v>1</v>
      </c>
    </row>
    <row r="253" customFormat="false" ht="15" hidden="false" customHeight="false" outlineLevel="0" collapsed="false">
      <c r="A253" s="49" t="str">
        <f aca="false">IF(B253="","",ROW()-4)</f>
        <v/>
      </c>
      <c r="B253" s="50"/>
      <c r="C253" s="50"/>
      <c r="D253" s="50"/>
      <c r="E253" s="51"/>
      <c r="F253" s="51"/>
      <c r="G253" s="51"/>
      <c r="H253" s="52"/>
      <c r="I253" s="53"/>
      <c r="J253" s="54"/>
      <c r="K253" s="53"/>
      <c r="L253" s="54"/>
      <c r="M253" s="55" t="str">
        <f aca="false">IF(L253="","",L253-J253)</f>
        <v/>
      </c>
      <c r="N253" s="56" t="str">
        <f aca="true">IF(I253="","",IF(K253&lt;&gt;"","PAGO",IF(I253&lt;TODAY(),"VENCIDO",IF(I253=TODAY(),"VENCE HOJE","A VENCER"))))</f>
        <v/>
      </c>
      <c r="O253" s="57" t="str">
        <f aca="true">IF(OR(I253="",K253&lt;&gt;""),"",I253-TODAY())</f>
        <v/>
      </c>
      <c r="P253" s="51"/>
      <c r="Q253" s="51"/>
      <c r="R253" s="51"/>
      <c r="S253" s="50"/>
      <c r="T253" s="50"/>
      <c r="U253" s="52"/>
      <c r="V253" s="58" t="n">
        <f aca="false">IF(OR(B253="",I253="",F253="",F253=Cadastros!$E$4,F253=Cadastros!$E$9),999999,IF(COUNTIFS($B$5:$B$504,B253,$I$5:$I$504,"&gt;"&amp;I253)=0,YEAR(I253)*12+MONTH(I253),999999))</f>
        <v>999999</v>
      </c>
      <c r="W253" s="58" t="n">
        <f aca="false">IF(U253="",999999,YEAR(U253)*12+MONTH(U253))</f>
        <v>999999</v>
      </c>
      <c r="X253" s="58" t="n">
        <f aca="false">IF(F253=Cadastros!$E$6,3,IF(F253=Cadastros!$E$7,6,IF(F253=Cadastros!$E$8,12,1)))</f>
        <v>1</v>
      </c>
    </row>
    <row r="254" customFormat="false" ht="15" hidden="false" customHeight="false" outlineLevel="0" collapsed="false">
      <c r="A254" s="49" t="str">
        <f aca="false">IF(B254="","",ROW()-4)</f>
        <v/>
      </c>
      <c r="B254" s="50"/>
      <c r="C254" s="50"/>
      <c r="D254" s="50"/>
      <c r="E254" s="51"/>
      <c r="F254" s="51"/>
      <c r="G254" s="51"/>
      <c r="H254" s="52"/>
      <c r="I254" s="53"/>
      <c r="J254" s="54"/>
      <c r="K254" s="53"/>
      <c r="L254" s="54"/>
      <c r="M254" s="55" t="str">
        <f aca="false">IF(L254="","",L254-J254)</f>
        <v/>
      </c>
      <c r="N254" s="56" t="str">
        <f aca="true">IF(I254="","",IF(K254&lt;&gt;"","PAGO",IF(I254&lt;TODAY(),"VENCIDO",IF(I254=TODAY(),"VENCE HOJE","A VENCER"))))</f>
        <v/>
      </c>
      <c r="O254" s="57" t="str">
        <f aca="true">IF(OR(I254="",K254&lt;&gt;""),"",I254-TODAY())</f>
        <v/>
      </c>
      <c r="P254" s="51"/>
      <c r="Q254" s="51"/>
      <c r="R254" s="51"/>
      <c r="S254" s="50"/>
      <c r="T254" s="50"/>
      <c r="U254" s="52"/>
      <c r="V254" s="58" t="n">
        <f aca="false">IF(OR(B254="",I254="",F254="",F254=Cadastros!$E$4,F254=Cadastros!$E$9),999999,IF(COUNTIFS($B$5:$B$504,B254,$I$5:$I$504,"&gt;"&amp;I254)=0,YEAR(I254)*12+MONTH(I254),999999))</f>
        <v>999999</v>
      </c>
      <c r="W254" s="58" t="n">
        <f aca="false">IF(U254="",999999,YEAR(U254)*12+MONTH(U254))</f>
        <v>999999</v>
      </c>
      <c r="X254" s="58" t="n">
        <f aca="false">IF(F254=Cadastros!$E$6,3,IF(F254=Cadastros!$E$7,6,IF(F254=Cadastros!$E$8,12,1)))</f>
        <v>1</v>
      </c>
    </row>
    <row r="255" customFormat="false" ht="15" hidden="false" customHeight="false" outlineLevel="0" collapsed="false">
      <c r="A255" s="49" t="str">
        <f aca="false">IF(B255="","",ROW()-4)</f>
        <v/>
      </c>
      <c r="B255" s="50"/>
      <c r="C255" s="50"/>
      <c r="D255" s="50"/>
      <c r="E255" s="51"/>
      <c r="F255" s="51"/>
      <c r="G255" s="51"/>
      <c r="H255" s="52"/>
      <c r="I255" s="53"/>
      <c r="J255" s="54"/>
      <c r="K255" s="53"/>
      <c r="L255" s="54"/>
      <c r="M255" s="55" t="str">
        <f aca="false">IF(L255="","",L255-J255)</f>
        <v/>
      </c>
      <c r="N255" s="56" t="str">
        <f aca="true">IF(I255="","",IF(K255&lt;&gt;"","PAGO",IF(I255&lt;TODAY(),"VENCIDO",IF(I255=TODAY(),"VENCE HOJE","A VENCER"))))</f>
        <v/>
      </c>
      <c r="O255" s="57" t="str">
        <f aca="true">IF(OR(I255="",K255&lt;&gt;""),"",I255-TODAY())</f>
        <v/>
      </c>
      <c r="P255" s="51"/>
      <c r="Q255" s="51"/>
      <c r="R255" s="51"/>
      <c r="S255" s="50"/>
      <c r="T255" s="50"/>
      <c r="U255" s="52"/>
      <c r="V255" s="58" t="n">
        <f aca="false">IF(OR(B255="",I255="",F255="",F255=Cadastros!$E$4,F255=Cadastros!$E$9),999999,IF(COUNTIFS($B$5:$B$504,B255,$I$5:$I$504,"&gt;"&amp;I255)=0,YEAR(I255)*12+MONTH(I255),999999))</f>
        <v>999999</v>
      </c>
      <c r="W255" s="58" t="n">
        <f aca="false">IF(U255="",999999,YEAR(U255)*12+MONTH(U255))</f>
        <v>999999</v>
      </c>
      <c r="X255" s="58" t="n">
        <f aca="false">IF(F255=Cadastros!$E$6,3,IF(F255=Cadastros!$E$7,6,IF(F255=Cadastros!$E$8,12,1)))</f>
        <v>1</v>
      </c>
    </row>
    <row r="256" customFormat="false" ht="15" hidden="false" customHeight="false" outlineLevel="0" collapsed="false">
      <c r="A256" s="49" t="str">
        <f aca="false">IF(B256="","",ROW()-4)</f>
        <v/>
      </c>
      <c r="B256" s="50"/>
      <c r="C256" s="50"/>
      <c r="D256" s="50"/>
      <c r="E256" s="51"/>
      <c r="F256" s="51"/>
      <c r="G256" s="51"/>
      <c r="H256" s="52"/>
      <c r="I256" s="53"/>
      <c r="J256" s="54"/>
      <c r="K256" s="53"/>
      <c r="L256" s="54"/>
      <c r="M256" s="55" t="str">
        <f aca="false">IF(L256="","",L256-J256)</f>
        <v/>
      </c>
      <c r="N256" s="56" t="str">
        <f aca="true">IF(I256="","",IF(K256&lt;&gt;"","PAGO",IF(I256&lt;TODAY(),"VENCIDO",IF(I256=TODAY(),"VENCE HOJE","A VENCER"))))</f>
        <v/>
      </c>
      <c r="O256" s="57" t="str">
        <f aca="true">IF(OR(I256="",K256&lt;&gt;""),"",I256-TODAY())</f>
        <v/>
      </c>
      <c r="P256" s="51"/>
      <c r="Q256" s="51"/>
      <c r="R256" s="51"/>
      <c r="S256" s="50"/>
      <c r="T256" s="50"/>
      <c r="U256" s="52"/>
      <c r="V256" s="58" t="n">
        <f aca="false">IF(OR(B256="",I256="",F256="",F256=Cadastros!$E$4,F256=Cadastros!$E$9),999999,IF(COUNTIFS($B$5:$B$504,B256,$I$5:$I$504,"&gt;"&amp;I256)=0,YEAR(I256)*12+MONTH(I256),999999))</f>
        <v>999999</v>
      </c>
      <c r="W256" s="58" t="n">
        <f aca="false">IF(U256="",999999,YEAR(U256)*12+MONTH(U256))</f>
        <v>999999</v>
      </c>
      <c r="X256" s="58" t="n">
        <f aca="false">IF(F256=Cadastros!$E$6,3,IF(F256=Cadastros!$E$7,6,IF(F256=Cadastros!$E$8,12,1)))</f>
        <v>1</v>
      </c>
    </row>
    <row r="257" customFormat="false" ht="15" hidden="false" customHeight="false" outlineLevel="0" collapsed="false">
      <c r="A257" s="49" t="str">
        <f aca="false">IF(B257="","",ROW()-4)</f>
        <v/>
      </c>
      <c r="B257" s="50"/>
      <c r="C257" s="50"/>
      <c r="D257" s="50"/>
      <c r="E257" s="51"/>
      <c r="F257" s="51"/>
      <c r="G257" s="51"/>
      <c r="H257" s="52"/>
      <c r="I257" s="53"/>
      <c r="J257" s="54"/>
      <c r="K257" s="53"/>
      <c r="L257" s="54"/>
      <c r="M257" s="55" t="str">
        <f aca="false">IF(L257="","",L257-J257)</f>
        <v/>
      </c>
      <c r="N257" s="56" t="str">
        <f aca="true">IF(I257="","",IF(K257&lt;&gt;"","PAGO",IF(I257&lt;TODAY(),"VENCIDO",IF(I257=TODAY(),"VENCE HOJE","A VENCER"))))</f>
        <v/>
      </c>
      <c r="O257" s="57" t="str">
        <f aca="true">IF(OR(I257="",K257&lt;&gt;""),"",I257-TODAY())</f>
        <v/>
      </c>
      <c r="P257" s="51"/>
      <c r="Q257" s="51"/>
      <c r="R257" s="51"/>
      <c r="S257" s="50"/>
      <c r="T257" s="50"/>
      <c r="U257" s="52"/>
      <c r="V257" s="58" t="n">
        <f aca="false">IF(OR(B257="",I257="",F257="",F257=Cadastros!$E$4,F257=Cadastros!$E$9),999999,IF(COUNTIFS($B$5:$B$504,B257,$I$5:$I$504,"&gt;"&amp;I257)=0,YEAR(I257)*12+MONTH(I257),999999))</f>
        <v>999999</v>
      </c>
      <c r="W257" s="58" t="n">
        <f aca="false">IF(U257="",999999,YEAR(U257)*12+MONTH(U257))</f>
        <v>999999</v>
      </c>
      <c r="X257" s="58" t="n">
        <f aca="false">IF(F257=Cadastros!$E$6,3,IF(F257=Cadastros!$E$7,6,IF(F257=Cadastros!$E$8,12,1)))</f>
        <v>1</v>
      </c>
    </row>
    <row r="258" customFormat="false" ht="15" hidden="false" customHeight="false" outlineLevel="0" collapsed="false">
      <c r="A258" s="49" t="str">
        <f aca="false">IF(B258="","",ROW()-4)</f>
        <v/>
      </c>
      <c r="B258" s="50"/>
      <c r="C258" s="50"/>
      <c r="D258" s="50"/>
      <c r="E258" s="51"/>
      <c r="F258" s="51"/>
      <c r="G258" s="51"/>
      <c r="H258" s="52"/>
      <c r="I258" s="53"/>
      <c r="J258" s="54"/>
      <c r="K258" s="53"/>
      <c r="L258" s="54"/>
      <c r="M258" s="55" t="str">
        <f aca="false">IF(L258="","",L258-J258)</f>
        <v/>
      </c>
      <c r="N258" s="56" t="str">
        <f aca="true">IF(I258="","",IF(K258&lt;&gt;"","PAGO",IF(I258&lt;TODAY(),"VENCIDO",IF(I258=TODAY(),"VENCE HOJE","A VENCER"))))</f>
        <v/>
      </c>
      <c r="O258" s="57" t="str">
        <f aca="true">IF(OR(I258="",K258&lt;&gt;""),"",I258-TODAY())</f>
        <v/>
      </c>
      <c r="P258" s="51"/>
      <c r="Q258" s="51"/>
      <c r="R258" s="51"/>
      <c r="S258" s="50"/>
      <c r="T258" s="50"/>
      <c r="U258" s="52"/>
      <c r="V258" s="58" t="n">
        <f aca="false">IF(OR(B258="",I258="",F258="",F258=Cadastros!$E$4,F258=Cadastros!$E$9),999999,IF(COUNTIFS($B$5:$B$504,B258,$I$5:$I$504,"&gt;"&amp;I258)=0,YEAR(I258)*12+MONTH(I258),999999))</f>
        <v>999999</v>
      </c>
      <c r="W258" s="58" t="n">
        <f aca="false">IF(U258="",999999,YEAR(U258)*12+MONTH(U258))</f>
        <v>999999</v>
      </c>
      <c r="X258" s="58" t="n">
        <f aca="false">IF(F258=Cadastros!$E$6,3,IF(F258=Cadastros!$E$7,6,IF(F258=Cadastros!$E$8,12,1)))</f>
        <v>1</v>
      </c>
    </row>
    <row r="259" customFormat="false" ht="15" hidden="false" customHeight="false" outlineLevel="0" collapsed="false">
      <c r="A259" s="49" t="str">
        <f aca="false">IF(B259="","",ROW()-4)</f>
        <v/>
      </c>
      <c r="B259" s="50"/>
      <c r="C259" s="50"/>
      <c r="D259" s="50"/>
      <c r="E259" s="51"/>
      <c r="F259" s="51"/>
      <c r="G259" s="51"/>
      <c r="H259" s="52"/>
      <c r="I259" s="53"/>
      <c r="J259" s="54"/>
      <c r="K259" s="53"/>
      <c r="L259" s="54"/>
      <c r="M259" s="55" t="str">
        <f aca="false">IF(L259="","",L259-J259)</f>
        <v/>
      </c>
      <c r="N259" s="56" t="str">
        <f aca="true">IF(I259="","",IF(K259&lt;&gt;"","PAGO",IF(I259&lt;TODAY(),"VENCIDO",IF(I259=TODAY(),"VENCE HOJE","A VENCER"))))</f>
        <v/>
      </c>
      <c r="O259" s="57" t="str">
        <f aca="true">IF(OR(I259="",K259&lt;&gt;""),"",I259-TODAY())</f>
        <v/>
      </c>
      <c r="P259" s="51"/>
      <c r="Q259" s="51"/>
      <c r="R259" s="51"/>
      <c r="S259" s="50"/>
      <c r="T259" s="50"/>
      <c r="U259" s="52"/>
      <c r="V259" s="58" t="n">
        <f aca="false">IF(OR(B259="",I259="",F259="",F259=Cadastros!$E$4,F259=Cadastros!$E$9),999999,IF(COUNTIFS($B$5:$B$504,B259,$I$5:$I$504,"&gt;"&amp;I259)=0,YEAR(I259)*12+MONTH(I259),999999))</f>
        <v>999999</v>
      </c>
      <c r="W259" s="58" t="n">
        <f aca="false">IF(U259="",999999,YEAR(U259)*12+MONTH(U259))</f>
        <v>999999</v>
      </c>
      <c r="X259" s="58" t="n">
        <f aca="false">IF(F259=Cadastros!$E$6,3,IF(F259=Cadastros!$E$7,6,IF(F259=Cadastros!$E$8,12,1)))</f>
        <v>1</v>
      </c>
    </row>
    <row r="260" customFormat="false" ht="15" hidden="false" customHeight="false" outlineLevel="0" collapsed="false">
      <c r="A260" s="49" t="str">
        <f aca="false">IF(B260="","",ROW()-4)</f>
        <v/>
      </c>
      <c r="B260" s="50"/>
      <c r="C260" s="50"/>
      <c r="D260" s="50"/>
      <c r="E260" s="51"/>
      <c r="F260" s="51"/>
      <c r="G260" s="51"/>
      <c r="H260" s="52"/>
      <c r="I260" s="53"/>
      <c r="J260" s="54"/>
      <c r="K260" s="53"/>
      <c r="L260" s="54"/>
      <c r="M260" s="55" t="str">
        <f aca="false">IF(L260="","",L260-J260)</f>
        <v/>
      </c>
      <c r="N260" s="56" t="str">
        <f aca="true">IF(I260="","",IF(K260&lt;&gt;"","PAGO",IF(I260&lt;TODAY(),"VENCIDO",IF(I260=TODAY(),"VENCE HOJE","A VENCER"))))</f>
        <v/>
      </c>
      <c r="O260" s="57" t="str">
        <f aca="true">IF(OR(I260="",K260&lt;&gt;""),"",I260-TODAY())</f>
        <v/>
      </c>
      <c r="P260" s="51"/>
      <c r="Q260" s="51"/>
      <c r="R260" s="51"/>
      <c r="S260" s="50"/>
      <c r="T260" s="50"/>
      <c r="U260" s="52"/>
      <c r="V260" s="58" t="n">
        <f aca="false">IF(OR(B260="",I260="",F260="",F260=Cadastros!$E$4,F260=Cadastros!$E$9),999999,IF(COUNTIFS($B$5:$B$504,B260,$I$5:$I$504,"&gt;"&amp;I260)=0,YEAR(I260)*12+MONTH(I260),999999))</f>
        <v>999999</v>
      </c>
      <c r="W260" s="58" t="n">
        <f aca="false">IF(U260="",999999,YEAR(U260)*12+MONTH(U260))</f>
        <v>999999</v>
      </c>
      <c r="X260" s="58" t="n">
        <f aca="false">IF(F260=Cadastros!$E$6,3,IF(F260=Cadastros!$E$7,6,IF(F260=Cadastros!$E$8,12,1)))</f>
        <v>1</v>
      </c>
    </row>
    <row r="261" customFormat="false" ht="15" hidden="false" customHeight="false" outlineLevel="0" collapsed="false">
      <c r="A261" s="49" t="str">
        <f aca="false">IF(B261="","",ROW()-4)</f>
        <v/>
      </c>
      <c r="B261" s="50"/>
      <c r="C261" s="50"/>
      <c r="D261" s="50"/>
      <c r="E261" s="51"/>
      <c r="F261" s="51"/>
      <c r="G261" s="51"/>
      <c r="H261" s="52"/>
      <c r="I261" s="53"/>
      <c r="J261" s="54"/>
      <c r="K261" s="53"/>
      <c r="L261" s="54"/>
      <c r="M261" s="55" t="str">
        <f aca="false">IF(L261="","",L261-J261)</f>
        <v/>
      </c>
      <c r="N261" s="56" t="str">
        <f aca="true">IF(I261="","",IF(K261&lt;&gt;"","PAGO",IF(I261&lt;TODAY(),"VENCIDO",IF(I261=TODAY(),"VENCE HOJE","A VENCER"))))</f>
        <v/>
      </c>
      <c r="O261" s="57" t="str">
        <f aca="true">IF(OR(I261="",K261&lt;&gt;""),"",I261-TODAY())</f>
        <v/>
      </c>
      <c r="P261" s="51"/>
      <c r="Q261" s="51"/>
      <c r="R261" s="51"/>
      <c r="S261" s="50"/>
      <c r="T261" s="50"/>
      <c r="U261" s="52"/>
      <c r="V261" s="58" t="n">
        <f aca="false">IF(OR(B261="",I261="",F261="",F261=Cadastros!$E$4,F261=Cadastros!$E$9),999999,IF(COUNTIFS($B$5:$B$504,B261,$I$5:$I$504,"&gt;"&amp;I261)=0,YEAR(I261)*12+MONTH(I261),999999))</f>
        <v>999999</v>
      </c>
      <c r="W261" s="58" t="n">
        <f aca="false">IF(U261="",999999,YEAR(U261)*12+MONTH(U261))</f>
        <v>999999</v>
      </c>
      <c r="X261" s="58" t="n">
        <f aca="false">IF(F261=Cadastros!$E$6,3,IF(F261=Cadastros!$E$7,6,IF(F261=Cadastros!$E$8,12,1)))</f>
        <v>1</v>
      </c>
    </row>
    <row r="262" customFormat="false" ht="15" hidden="false" customHeight="false" outlineLevel="0" collapsed="false">
      <c r="A262" s="49" t="str">
        <f aca="false">IF(B262="","",ROW()-4)</f>
        <v/>
      </c>
      <c r="B262" s="50"/>
      <c r="C262" s="50"/>
      <c r="D262" s="50"/>
      <c r="E262" s="51"/>
      <c r="F262" s="51"/>
      <c r="G262" s="51"/>
      <c r="H262" s="52"/>
      <c r="I262" s="53"/>
      <c r="J262" s="54"/>
      <c r="K262" s="53"/>
      <c r="L262" s="54"/>
      <c r="M262" s="55" t="str">
        <f aca="false">IF(L262="","",L262-J262)</f>
        <v/>
      </c>
      <c r="N262" s="56" t="str">
        <f aca="true">IF(I262="","",IF(K262&lt;&gt;"","PAGO",IF(I262&lt;TODAY(),"VENCIDO",IF(I262=TODAY(),"VENCE HOJE","A VENCER"))))</f>
        <v/>
      </c>
      <c r="O262" s="57" t="str">
        <f aca="true">IF(OR(I262="",K262&lt;&gt;""),"",I262-TODAY())</f>
        <v/>
      </c>
      <c r="P262" s="51"/>
      <c r="Q262" s="51"/>
      <c r="R262" s="51"/>
      <c r="S262" s="50"/>
      <c r="T262" s="50"/>
      <c r="U262" s="52"/>
      <c r="V262" s="58" t="n">
        <f aca="false">IF(OR(B262="",I262="",F262="",F262=Cadastros!$E$4,F262=Cadastros!$E$9),999999,IF(COUNTIFS($B$5:$B$504,B262,$I$5:$I$504,"&gt;"&amp;I262)=0,YEAR(I262)*12+MONTH(I262),999999))</f>
        <v>999999</v>
      </c>
      <c r="W262" s="58" t="n">
        <f aca="false">IF(U262="",999999,YEAR(U262)*12+MONTH(U262))</f>
        <v>999999</v>
      </c>
      <c r="X262" s="58" t="n">
        <f aca="false">IF(F262=Cadastros!$E$6,3,IF(F262=Cadastros!$E$7,6,IF(F262=Cadastros!$E$8,12,1)))</f>
        <v>1</v>
      </c>
    </row>
    <row r="263" customFormat="false" ht="15" hidden="false" customHeight="false" outlineLevel="0" collapsed="false">
      <c r="A263" s="49" t="str">
        <f aca="false">IF(B263="","",ROW()-4)</f>
        <v/>
      </c>
      <c r="B263" s="50"/>
      <c r="C263" s="50"/>
      <c r="D263" s="50"/>
      <c r="E263" s="51"/>
      <c r="F263" s="51"/>
      <c r="G263" s="51"/>
      <c r="H263" s="52"/>
      <c r="I263" s="53"/>
      <c r="J263" s="54"/>
      <c r="K263" s="53"/>
      <c r="L263" s="54"/>
      <c r="M263" s="55" t="str">
        <f aca="false">IF(L263="","",L263-J263)</f>
        <v/>
      </c>
      <c r="N263" s="56" t="str">
        <f aca="true">IF(I263="","",IF(K263&lt;&gt;"","PAGO",IF(I263&lt;TODAY(),"VENCIDO",IF(I263=TODAY(),"VENCE HOJE","A VENCER"))))</f>
        <v/>
      </c>
      <c r="O263" s="57" t="str">
        <f aca="true">IF(OR(I263="",K263&lt;&gt;""),"",I263-TODAY())</f>
        <v/>
      </c>
      <c r="P263" s="51"/>
      <c r="Q263" s="51"/>
      <c r="R263" s="51"/>
      <c r="S263" s="50"/>
      <c r="T263" s="50"/>
      <c r="U263" s="52"/>
      <c r="V263" s="58" t="n">
        <f aca="false">IF(OR(B263="",I263="",F263="",F263=Cadastros!$E$4,F263=Cadastros!$E$9),999999,IF(COUNTIFS($B$5:$B$504,B263,$I$5:$I$504,"&gt;"&amp;I263)=0,YEAR(I263)*12+MONTH(I263),999999))</f>
        <v>999999</v>
      </c>
      <c r="W263" s="58" t="n">
        <f aca="false">IF(U263="",999999,YEAR(U263)*12+MONTH(U263))</f>
        <v>999999</v>
      </c>
      <c r="X263" s="58" t="n">
        <f aca="false">IF(F263=Cadastros!$E$6,3,IF(F263=Cadastros!$E$7,6,IF(F263=Cadastros!$E$8,12,1)))</f>
        <v>1</v>
      </c>
    </row>
    <row r="264" customFormat="false" ht="15" hidden="false" customHeight="false" outlineLevel="0" collapsed="false">
      <c r="A264" s="49" t="str">
        <f aca="false">IF(B264="","",ROW()-4)</f>
        <v/>
      </c>
      <c r="B264" s="50"/>
      <c r="C264" s="50"/>
      <c r="D264" s="50"/>
      <c r="E264" s="51"/>
      <c r="F264" s="51"/>
      <c r="G264" s="51"/>
      <c r="H264" s="52"/>
      <c r="I264" s="53"/>
      <c r="J264" s="54"/>
      <c r="K264" s="53"/>
      <c r="L264" s="54"/>
      <c r="M264" s="55" t="str">
        <f aca="false">IF(L264="","",L264-J264)</f>
        <v/>
      </c>
      <c r="N264" s="56" t="str">
        <f aca="true">IF(I264="","",IF(K264&lt;&gt;"","PAGO",IF(I264&lt;TODAY(),"VENCIDO",IF(I264=TODAY(),"VENCE HOJE","A VENCER"))))</f>
        <v/>
      </c>
      <c r="O264" s="57" t="str">
        <f aca="true">IF(OR(I264="",K264&lt;&gt;""),"",I264-TODAY())</f>
        <v/>
      </c>
      <c r="P264" s="51"/>
      <c r="Q264" s="51"/>
      <c r="R264" s="51"/>
      <c r="S264" s="50"/>
      <c r="T264" s="50"/>
      <c r="U264" s="52"/>
      <c r="V264" s="58" t="n">
        <f aca="false">IF(OR(B264="",I264="",F264="",F264=Cadastros!$E$4,F264=Cadastros!$E$9),999999,IF(COUNTIFS($B$5:$B$504,B264,$I$5:$I$504,"&gt;"&amp;I264)=0,YEAR(I264)*12+MONTH(I264),999999))</f>
        <v>999999</v>
      </c>
      <c r="W264" s="58" t="n">
        <f aca="false">IF(U264="",999999,YEAR(U264)*12+MONTH(U264))</f>
        <v>999999</v>
      </c>
      <c r="X264" s="58" t="n">
        <f aca="false">IF(F264=Cadastros!$E$6,3,IF(F264=Cadastros!$E$7,6,IF(F264=Cadastros!$E$8,12,1)))</f>
        <v>1</v>
      </c>
    </row>
    <row r="265" customFormat="false" ht="15" hidden="false" customHeight="false" outlineLevel="0" collapsed="false">
      <c r="A265" s="49" t="str">
        <f aca="false">IF(B265="","",ROW()-4)</f>
        <v/>
      </c>
      <c r="B265" s="50"/>
      <c r="C265" s="50"/>
      <c r="D265" s="50"/>
      <c r="E265" s="51"/>
      <c r="F265" s="51"/>
      <c r="G265" s="51"/>
      <c r="H265" s="52"/>
      <c r="I265" s="53"/>
      <c r="J265" s="54"/>
      <c r="K265" s="53"/>
      <c r="L265" s="54"/>
      <c r="M265" s="55" t="str">
        <f aca="false">IF(L265="","",L265-J265)</f>
        <v/>
      </c>
      <c r="N265" s="56" t="str">
        <f aca="true">IF(I265="","",IF(K265&lt;&gt;"","PAGO",IF(I265&lt;TODAY(),"VENCIDO",IF(I265=TODAY(),"VENCE HOJE","A VENCER"))))</f>
        <v/>
      </c>
      <c r="O265" s="57" t="str">
        <f aca="true">IF(OR(I265="",K265&lt;&gt;""),"",I265-TODAY())</f>
        <v/>
      </c>
      <c r="P265" s="51"/>
      <c r="Q265" s="51"/>
      <c r="R265" s="51"/>
      <c r="S265" s="50"/>
      <c r="T265" s="50"/>
      <c r="U265" s="52"/>
      <c r="V265" s="58" t="n">
        <f aca="false">IF(OR(B265="",I265="",F265="",F265=Cadastros!$E$4,F265=Cadastros!$E$9),999999,IF(COUNTIFS($B$5:$B$504,B265,$I$5:$I$504,"&gt;"&amp;I265)=0,YEAR(I265)*12+MONTH(I265),999999))</f>
        <v>999999</v>
      </c>
      <c r="W265" s="58" t="n">
        <f aca="false">IF(U265="",999999,YEAR(U265)*12+MONTH(U265))</f>
        <v>999999</v>
      </c>
      <c r="X265" s="58" t="n">
        <f aca="false">IF(F265=Cadastros!$E$6,3,IF(F265=Cadastros!$E$7,6,IF(F265=Cadastros!$E$8,12,1)))</f>
        <v>1</v>
      </c>
    </row>
    <row r="266" customFormat="false" ht="15" hidden="false" customHeight="false" outlineLevel="0" collapsed="false">
      <c r="A266" s="49" t="str">
        <f aca="false">IF(B266="","",ROW()-4)</f>
        <v/>
      </c>
      <c r="B266" s="50"/>
      <c r="C266" s="50"/>
      <c r="D266" s="50"/>
      <c r="E266" s="51"/>
      <c r="F266" s="51"/>
      <c r="G266" s="51"/>
      <c r="H266" s="52"/>
      <c r="I266" s="53"/>
      <c r="J266" s="54"/>
      <c r="K266" s="53"/>
      <c r="L266" s="54"/>
      <c r="M266" s="55" t="str">
        <f aca="false">IF(L266="","",L266-J266)</f>
        <v/>
      </c>
      <c r="N266" s="56" t="str">
        <f aca="true">IF(I266="","",IF(K266&lt;&gt;"","PAGO",IF(I266&lt;TODAY(),"VENCIDO",IF(I266=TODAY(),"VENCE HOJE","A VENCER"))))</f>
        <v/>
      </c>
      <c r="O266" s="57" t="str">
        <f aca="true">IF(OR(I266="",K266&lt;&gt;""),"",I266-TODAY())</f>
        <v/>
      </c>
      <c r="P266" s="51"/>
      <c r="Q266" s="51"/>
      <c r="R266" s="51"/>
      <c r="S266" s="50"/>
      <c r="T266" s="50"/>
      <c r="U266" s="52"/>
      <c r="V266" s="58" t="n">
        <f aca="false">IF(OR(B266="",I266="",F266="",F266=Cadastros!$E$4,F266=Cadastros!$E$9),999999,IF(COUNTIFS($B$5:$B$504,B266,$I$5:$I$504,"&gt;"&amp;I266)=0,YEAR(I266)*12+MONTH(I266),999999))</f>
        <v>999999</v>
      </c>
      <c r="W266" s="58" t="n">
        <f aca="false">IF(U266="",999999,YEAR(U266)*12+MONTH(U266))</f>
        <v>999999</v>
      </c>
      <c r="X266" s="58" t="n">
        <f aca="false">IF(F266=Cadastros!$E$6,3,IF(F266=Cadastros!$E$7,6,IF(F266=Cadastros!$E$8,12,1)))</f>
        <v>1</v>
      </c>
    </row>
    <row r="267" customFormat="false" ht="15" hidden="false" customHeight="false" outlineLevel="0" collapsed="false">
      <c r="A267" s="49" t="str">
        <f aca="false">IF(B267="","",ROW()-4)</f>
        <v/>
      </c>
      <c r="B267" s="50"/>
      <c r="C267" s="50"/>
      <c r="D267" s="50"/>
      <c r="E267" s="51"/>
      <c r="F267" s="51"/>
      <c r="G267" s="51"/>
      <c r="H267" s="52"/>
      <c r="I267" s="53"/>
      <c r="J267" s="54"/>
      <c r="K267" s="53"/>
      <c r="L267" s="54"/>
      <c r="M267" s="55" t="str">
        <f aca="false">IF(L267="","",L267-J267)</f>
        <v/>
      </c>
      <c r="N267" s="56" t="str">
        <f aca="true">IF(I267="","",IF(K267&lt;&gt;"","PAGO",IF(I267&lt;TODAY(),"VENCIDO",IF(I267=TODAY(),"VENCE HOJE","A VENCER"))))</f>
        <v/>
      </c>
      <c r="O267" s="57" t="str">
        <f aca="true">IF(OR(I267="",K267&lt;&gt;""),"",I267-TODAY())</f>
        <v/>
      </c>
      <c r="P267" s="51"/>
      <c r="Q267" s="51"/>
      <c r="R267" s="51"/>
      <c r="S267" s="50"/>
      <c r="T267" s="50"/>
      <c r="U267" s="52"/>
      <c r="V267" s="58" t="n">
        <f aca="false">IF(OR(B267="",I267="",F267="",F267=Cadastros!$E$4,F267=Cadastros!$E$9),999999,IF(COUNTIFS($B$5:$B$504,B267,$I$5:$I$504,"&gt;"&amp;I267)=0,YEAR(I267)*12+MONTH(I267),999999))</f>
        <v>999999</v>
      </c>
      <c r="W267" s="58" t="n">
        <f aca="false">IF(U267="",999999,YEAR(U267)*12+MONTH(U267))</f>
        <v>999999</v>
      </c>
      <c r="X267" s="58" t="n">
        <f aca="false">IF(F267=Cadastros!$E$6,3,IF(F267=Cadastros!$E$7,6,IF(F267=Cadastros!$E$8,12,1)))</f>
        <v>1</v>
      </c>
    </row>
    <row r="268" customFormat="false" ht="15" hidden="false" customHeight="false" outlineLevel="0" collapsed="false">
      <c r="A268" s="49" t="str">
        <f aca="false">IF(B268="","",ROW()-4)</f>
        <v/>
      </c>
      <c r="B268" s="50"/>
      <c r="C268" s="50"/>
      <c r="D268" s="50"/>
      <c r="E268" s="51"/>
      <c r="F268" s="51"/>
      <c r="G268" s="51"/>
      <c r="H268" s="52"/>
      <c r="I268" s="53"/>
      <c r="J268" s="54"/>
      <c r="K268" s="53"/>
      <c r="L268" s="54"/>
      <c r="M268" s="55" t="str">
        <f aca="false">IF(L268="","",L268-J268)</f>
        <v/>
      </c>
      <c r="N268" s="56" t="str">
        <f aca="true">IF(I268="","",IF(K268&lt;&gt;"","PAGO",IF(I268&lt;TODAY(),"VENCIDO",IF(I268=TODAY(),"VENCE HOJE","A VENCER"))))</f>
        <v/>
      </c>
      <c r="O268" s="57" t="str">
        <f aca="true">IF(OR(I268="",K268&lt;&gt;""),"",I268-TODAY())</f>
        <v/>
      </c>
      <c r="P268" s="51"/>
      <c r="Q268" s="51"/>
      <c r="R268" s="51"/>
      <c r="S268" s="50"/>
      <c r="T268" s="50"/>
      <c r="U268" s="52"/>
      <c r="V268" s="58" t="n">
        <f aca="false">IF(OR(B268="",I268="",F268="",F268=Cadastros!$E$4,F268=Cadastros!$E$9),999999,IF(COUNTIFS($B$5:$B$504,B268,$I$5:$I$504,"&gt;"&amp;I268)=0,YEAR(I268)*12+MONTH(I268),999999))</f>
        <v>999999</v>
      </c>
      <c r="W268" s="58" t="n">
        <f aca="false">IF(U268="",999999,YEAR(U268)*12+MONTH(U268))</f>
        <v>999999</v>
      </c>
      <c r="X268" s="58" t="n">
        <f aca="false">IF(F268=Cadastros!$E$6,3,IF(F268=Cadastros!$E$7,6,IF(F268=Cadastros!$E$8,12,1)))</f>
        <v>1</v>
      </c>
    </row>
    <row r="269" customFormat="false" ht="15" hidden="false" customHeight="false" outlineLevel="0" collapsed="false">
      <c r="A269" s="49" t="str">
        <f aca="false">IF(B269="","",ROW()-4)</f>
        <v/>
      </c>
      <c r="B269" s="50"/>
      <c r="C269" s="50"/>
      <c r="D269" s="50"/>
      <c r="E269" s="51"/>
      <c r="F269" s="51"/>
      <c r="G269" s="51"/>
      <c r="H269" s="52"/>
      <c r="I269" s="53"/>
      <c r="J269" s="54"/>
      <c r="K269" s="53"/>
      <c r="L269" s="54"/>
      <c r="M269" s="55" t="str">
        <f aca="false">IF(L269="","",L269-J269)</f>
        <v/>
      </c>
      <c r="N269" s="56" t="str">
        <f aca="true">IF(I269="","",IF(K269&lt;&gt;"","PAGO",IF(I269&lt;TODAY(),"VENCIDO",IF(I269=TODAY(),"VENCE HOJE","A VENCER"))))</f>
        <v/>
      </c>
      <c r="O269" s="57" t="str">
        <f aca="true">IF(OR(I269="",K269&lt;&gt;""),"",I269-TODAY())</f>
        <v/>
      </c>
      <c r="P269" s="51"/>
      <c r="Q269" s="51"/>
      <c r="R269" s="51"/>
      <c r="S269" s="50"/>
      <c r="T269" s="50"/>
      <c r="U269" s="52"/>
      <c r="V269" s="58" t="n">
        <f aca="false">IF(OR(B269="",I269="",F269="",F269=Cadastros!$E$4,F269=Cadastros!$E$9),999999,IF(COUNTIFS($B$5:$B$504,B269,$I$5:$I$504,"&gt;"&amp;I269)=0,YEAR(I269)*12+MONTH(I269),999999))</f>
        <v>999999</v>
      </c>
      <c r="W269" s="58" t="n">
        <f aca="false">IF(U269="",999999,YEAR(U269)*12+MONTH(U269))</f>
        <v>999999</v>
      </c>
      <c r="X269" s="58" t="n">
        <f aca="false">IF(F269=Cadastros!$E$6,3,IF(F269=Cadastros!$E$7,6,IF(F269=Cadastros!$E$8,12,1)))</f>
        <v>1</v>
      </c>
    </row>
    <row r="270" customFormat="false" ht="15" hidden="false" customHeight="false" outlineLevel="0" collapsed="false">
      <c r="A270" s="49" t="str">
        <f aca="false">IF(B270="","",ROW()-4)</f>
        <v/>
      </c>
      <c r="B270" s="50"/>
      <c r="C270" s="50"/>
      <c r="D270" s="50"/>
      <c r="E270" s="51"/>
      <c r="F270" s="51"/>
      <c r="G270" s="51"/>
      <c r="H270" s="52"/>
      <c r="I270" s="53"/>
      <c r="J270" s="54"/>
      <c r="K270" s="53"/>
      <c r="L270" s="54"/>
      <c r="M270" s="55" t="str">
        <f aca="false">IF(L270="","",L270-J270)</f>
        <v/>
      </c>
      <c r="N270" s="56" t="str">
        <f aca="true">IF(I270="","",IF(K270&lt;&gt;"","PAGO",IF(I270&lt;TODAY(),"VENCIDO",IF(I270=TODAY(),"VENCE HOJE","A VENCER"))))</f>
        <v/>
      </c>
      <c r="O270" s="57" t="str">
        <f aca="true">IF(OR(I270="",K270&lt;&gt;""),"",I270-TODAY())</f>
        <v/>
      </c>
      <c r="P270" s="51"/>
      <c r="Q270" s="51"/>
      <c r="R270" s="51"/>
      <c r="S270" s="50"/>
      <c r="T270" s="50"/>
      <c r="U270" s="52"/>
      <c r="V270" s="58" t="n">
        <f aca="false">IF(OR(B270="",I270="",F270="",F270=Cadastros!$E$4,F270=Cadastros!$E$9),999999,IF(COUNTIFS($B$5:$B$504,B270,$I$5:$I$504,"&gt;"&amp;I270)=0,YEAR(I270)*12+MONTH(I270),999999))</f>
        <v>999999</v>
      </c>
      <c r="W270" s="58" t="n">
        <f aca="false">IF(U270="",999999,YEAR(U270)*12+MONTH(U270))</f>
        <v>999999</v>
      </c>
      <c r="X270" s="58" t="n">
        <f aca="false">IF(F270=Cadastros!$E$6,3,IF(F270=Cadastros!$E$7,6,IF(F270=Cadastros!$E$8,12,1)))</f>
        <v>1</v>
      </c>
    </row>
    <row r="271" customFormat="false" ht="15" hidden="false" customHeight="false" outlineLevel="0" collapsed="false">
      <c r="A271" s="49" t="str">
        <f aca="false">IF(B271="","",ROW()-4)</f>
        <v/>
      </c>
      <c r="B271" s="50"/>
      <c r="C271" s="50"/>
      <c r="D271" s="50"/>
      <c r="E271" s="51"/>
      <c r="F271" s="51"/>
      <c r="G271" s="51"/>
      <c r="H271" s="52"/>
      <c r="I271" s="53"/>
      <c r="J271" s="54"/>
      <c r="K271" s="53"/>
      <c r="L271" s="54"/>
      <c r="M271" s="55" t="str">
        <f aca="false">IF(L271="","",L271-J271)</f>
        <v/>
      </c>
      <c r="N271" s="56" t="str">
        <f aca="true">IF(I271="","",IF(K271&lt;&gt;"","PAGO",IF(I271&lt;TODAY(),"VENCIDO",IF(I271=TODAY(),"VENCE HOJE","A VENCER"))))</f>
        <v/>
      </c>
      <c r="O271" s="57" t="str">
        <f aca="true">IF(OR(I271="",K271&lt;&gt;""),"",I271-TODAY())</f>
        <v/>
      </c>
      <c r="P271" s="51"/>
      <c r="Q271" s="51"/>
      <c r="R271" s="51"/>
      <c r="S271" s="50"/>
      <c r="T271" s="50"/>
      <c r="U271" s="52"/>
      <c r="V271" s="58" t="n">
        <f aca="false">IF(OR(B271="",I271="",F271="",F271=Cadastros!$E$4,F271=Cadastros!$E$9),999999,IF(COUNTIFS($B$5:$B$504,B271,$I$5:$I$504,"&gt;"&amp;I271)=0,YEAR(I271)*12+MONTH(I271),999999))</f>
        <v>999999</v>
      </c>
      <c r="W271" s="58" t="n">
        <f aca="false">IF(U271="",999999,YEAR(U271)*12+MONTH(U271))</f>
        <v>999999</v>
      </c>
      <c r="X271" s="58" t="n">
        <f aca="false">IF(F271=Cadastros!$E$6,3,IF(F271=Cadastros!$E$7,6,IF(F271=Cadastros!$E$8,12,1)))</f>
        <v>1</v>
      </c>
    </row>
    <row r="272" customFormat="false" ht="15" hidden="false" customHeight="false" outlineLevel="0" collapsed="false">
      <c r="A272" s="49" t="str">
        <f aca="false">IF(B272="","",ROW()-4)</f>
        <v/>
      </c>
      <c r="B272" s="50"/>
      <c r="C272" s="50"/>
      <c r="D272" s="50"/>
      <c r="E272" s="51"/>
      <c r="F272" s="51"/>
      <c r="G272" s="51"/>
      <c r="H272" s="52"/>
      <c r="I272" s="53"/>
      <c r="J272" s="54"/>
      <c r="K272" s="53"/>
      <c r="L272" s="54"/>
      <c r="M272" s="55" t="str">
        <f aca="false">IF(L272="","",L272-J272)</f>
        <v/>
      </c>
      <c r="N272" s="56" t="str">
        <f aca="true">IF(I272="","",IF(K272&lt;&gt;"","PAGO",IF(I272&lt;TODAY(),"VENCIDO",IF(I272=TODAY(),"VENCE HOJE","A VENCER"))))</f>
        <v/>
      </c>
      <c r="O272" s="57" t="str">
        <f aca="true">IF(OR(I272="",K272&lt;&gt;""),"",I272-TODAY())</f>
        <v/>
      </c>
      <c r="P272" s="51"/>
      <c r="Q272" s="51"/>
      <c r="R272" s="51"/>
      <c r="S272" s="50"/>
      <c r="T272" s="50"/>
      <c r="U272" s="52"/>
      <c r="V272" s="58" t="n">
        <f aca="false">IF(OR(B272="",I272="",F272="",F272=Cadastros!$E$4,F272=Cadastros!$E$9),999999,IF(COUNTIFS($B$5:$B$504,B272,$I$5:$I$504,"&gt;"&amp;I272)=0,YEAR(I272)*12+MONTH(I272),999999))</f>
        <v>999999</v>
      </c>
      <c r="W272" s="58" t="n">
        <f aca="false">IF(U272="",999999,YEAR(U272)*12+MONTH(U272))</f>
        <v>999999</v>
      </c>
      <c r="X272" s="58" t="n">
        <f aca="false">IF(F272=Cadastros!$E$6,3,IF(F272=Cadastros!$E$7,6,IF(F272=Cadastros!$E$8,12,1)))</f>
        <v>1</v>
      </c>
    </row>
    <row r="273" customFormat="false" ht="15" hidden="false" customHeight="false" outlineLevel="0" collapsed="false">
      <c r="A273" s="49" t="str">
        <f aca="false">IF(B273="","",ROW()-4)</f>
        <v/>
      </c>
      <c r="B273" s="50"/>
      <c r="C273" s="50"/>
      <c r="D273" s="50"/>
      <c r="E273" s="51"/>
      <c r="F273" s="51"/>
      <c r="G273" s="51"/>
      <c r="H273" s="52"/>
      <c r="I273" s="53"/>
      <c r="J273" s="54"/>
      <c r="K273" s="53"/>
      <c r="L273" s="54"/>
      <c r="M273" s="55" t="str">
        <f aca="false">IF(L273="","",L273-J273)</f>
        <v/>
      </c>
      <c r="N273" s="56" t="str">
        <f aca="true">IF(I273="","",IF(K273&lt;&gt;"","PAGO",IF(I273&lt;TODAY(),"VENCIDO",IF(I273=TODAY(),"VENCE HOJE","A VENCER"))))</f>
        <v/>
      </c>
      <c r="O273" s="57" t="str">
        <f aca="true">IF(OR(I273="",K273&lt;&gt;""),"",I273-TODAY())</f>
        <v/>
      </c>
      <c r="P273" s="51"/>
      <c r="Q273" s="51"/>
      <c r="R273" s="51"/>
      <c r="S273" s="50"/>
      <c r="T273" s="50"/>
      <c r="U273" s="52"/>
      <c r="V273" s="58" t="n">
        <f aca="false">IF(OR(B273="",I273="",F273="",F273=Cadastros!$E$4,F273=Cadastros!$E$9),999999,IF(COUNTIFS($B$5:$B$504,B273,$I$5:$I$504,"&gt;"&amp;I273)=0,YEAR(I273)*12+MONTH(I273),999999))</f>
        <v>999999</v>
      </c>
      <c r="W273" s="58" t="n">
        <f aca="false">IF(U273="",999999,YEAR(U273)*12+MONTH(U273))</f>
        <v>999999</v>
      </c>
      <c r="X273" s="58" t="n">
        <f aca="false">IF(F273=Cadastros!$E$6,3,IF(F273=Cadastros!$E$7,6,IF(F273=Cadastros!$E$8,12,1)))</f>
        <v>1</v>
      </c>
    </row>
    <row r="274" customFormat="false" ht="15" hidden="false" customHeight="false" outlineLevel="0" collapsed="false">
      <c r="A274" s="49" t="str">
        <f aca="false">IF(B274="","",ROW()-4)</f>
        <v/>
      </c>
      <c r="B274" s="50"/>
      <c r="C274" s="50"/>
      <c r="D274" s="50"/>
      <c r="E274" s="51"/>
      <c r="F274" s="51"/>
      <c r="G274" s="51"/>
      <c r="H274" s="52"/>
      <c r="I274" s="53"/>
      <c r="J274" s="54"/>
      <c r="K274" s="53"/>
      <c r="L274" s="54"/>
      <c r="M274" s="55" t="str">
        <f aca="false">IF(L274="","",L274-J274)</f>
        <v/>
      </c>
      <c r="N274" s="56" t="str">
        <f aca="true">IF(I274="","",IF(K274&lt;&gt;"","PAGO",IF(I274&lt;TODAY(),"VENCIDO",IF(I274=TODAY(),"VENCE HOJE","A VENCER"))))</f>
        <v/>
      </c>
      <c r="O274" s="57" t="str">
        <f aca="true">IF(OR(I274="",K274&lt;&gt;""),"",I274-TODAY())</f>
        <v/>
      </c>
      <c r="P274" s="51"/>
      <c r="Q274" s="51"/>
      <c r="R274" s="51"/>
      <c r="S274" s="50"/>
      <c r="T274" s="50"/>
      <c r="U274" s="52"/>
      <c r="V274" s="58" t="n">
        <f aca="false">IF(OR(B274="",I274="",F274="",F274=Cadastros!$E$4,F274=Cadastros!$E$9),999999,IF(COUNTIFS($B$5:$B$504,B274,$I$5:$I$504,"&gt;"&amp;I274)=0,YEAR(I274)*12+MONTH(I274),999999))</f>
        <v>999999</v>
      </c>
      <c r="W274" s="58" t="n">
        <f aca="false">IF(U274="",999999,YEAR(U274)*12+MONTH(U274))</f>
        <v>999999</v>
      </c>
      <c r="X274" s="58" t="n">
        <f aca="false">IF(F274=Cadastros!$E$6,3,IF(F274=Cadastros!$E$7,6,IF(F274=Cadastros!$E$8,12,1)))</f>
        <v>1</v>
      </c>
    </row>
    <row r="275" customFormat="false" ht="15" hidden="false" customHeight="false" outlineLevel="0" collapsed="false">
      <c r="A275" s="49" t="str">
        <f aca="false">IF(B275="","",ROW()-4)</f>
        <v/>
      </c>
      <c r="B275" s="50"/>
      <c r="C275" s="50"/>
      <c r="D275" s="50"/>
      <c r="E275" s="51"/>
      <c r="F275" s="51"/>
      <c r="G275" s="51"/>
      <c r="H275" s="52"/>
      <c r="I275" s="53"/>
      <c r="J275" s="54"/>
      <c r="K275" s="53"/>
      <c r="L275" s="54"/>
      <c r="M275" s="55" t="str">
        <f aca="false">IF(L275="","",L275-J275)</f>
        <v/>
      </c>
      <c r="N275" s="56" t="str">
        <f aca="true">IF(I275="","",IF(K275&lt;&gt;"","PAGO",IF(I275&lt;TODAY(),"VENCIDO",IF(I275=TODAY(),"VENCE HOJE","A VENCER"))))</f>
        <v/>
      </c>
      <c r="O275" s="57" t="str">
        <f aca="true">IF(OR(I275="",K275&lt;&gt;""),"",I275-TODAY())</f>
        <v/>
      </c>
      <c r="P275" s="51"/>
      <c r="Q275" s="51"/>
      <c r="R275" s="51"/>
      <c r="S275" s="50"/>
      <c r="T275" s="50"/>
      <c r="U275" s="52"/>
      <c r="V275" s="58" t="n">
        <f aca="false">IF(OR(B275="",I275="",F275="",F275=Cadastros!$E$4,F275=Cadastros!$E$9),999999,IF(COUNTIFS($B$5:$B$504,B275,$I$5:$I$504,"&gt;"&amp;I275)=0,YEAR(I275)*12+MONTH(I275),999999))</f>
        <v>999999</v>
      </c>
      <c r="W275" s="58" t="n">
        <f aca="false">IF(U275="",999999,YEAR(U275)*12+MONTH(U275))</f>
        <v>999999</v>
      </c>
      <c r="X275" s="58" t="n">
        <f aca="false">IF(F275=Cadastros!$E$6,3,IF(F275=Cadastros!$E$7,6,IF(F275=Cadastros!$E$8,12,1)))</f>
        <v>1</v>
      </c>
    </row>
    <row r="276" customFormat="false" ht="15" hidden="false" customHeight="false" outlineLevel="0" collapsed="false">
      <c r="A276" s="49" t="str">
        <f aca="false">IF(B276="","",ROW()-4)</f>
        <v/>
      </c>
      <c r="B276" s="50"/>
      <c r="C276" s="50"/>
      <c r="D276" s="50"/>
      <c r="E276" s="51"/>
      <c r="F276" s="51"/>
      <c r="G276" s="51"/>
      <c r="H276" s="52"/>
      <c r="I276" s="53"/>
      <c r="J276" s="54"/>
      <c r="K276" s="53"/>
      <c r="L276" s="54"/>
      <c r="M276" s="55" t="str">
        <f aca="false">IF(L276="","",L276-J276)</f>
        <v/>
      </c>
      <c r="N276" s="56" t="str">
        <f aca="true">IF(I276="","",IF(K276&lt;&gt;"","PAGO",IF(I276&lt;TODAY(),"VENCIDO",IF(I276=TODAY(),"VENCE HOJE","A VENCER"))))</f>
        <v/>
      </c>
      <c r="O276" s="57" t="str">
        <f aca="true">IF(OR(I276="",K276&lt;&gt;""),"",I276-TODAY())</f>
        <v/>
      </c>
      <c r="P276" s="51"/>
      <c r="Q276" s="51"/>
      <c r="R276" s="51"/>
      <c r="S276" s="50"/>
      <c r="T276" s="50"/>
      <c r="U276" s="52"/>
      <c r="V276" s="58" t="n">
        <f aca="false">IF(OR(B276="",I276="",F276="",F276=Cadastros!$E$4,F276=Cadastros!$E$9),999999,IF(COUNTIFS($B$5:$B$504,B276,$I$5:$I$504,"&gt;"&amp;I276)=0,YEAR(I276)*12+MONTH(I276),999999))</f>
        <v>999999</v>
      </c>
      <c r="W276" s="58" t="n">
        <f aca="false">IF(U276="",999999,YEAR(U276)*12+MONTH(U276))</f>
        <v>999999</v>
      </c>
      <c r="X276" s="58" t="n">
        <f aca="false">IF(F276=Cadastros!$E$6,3,IF(F276=Cadastros!$E$7,6,IF(F276=Cadastros!$E$8,12,1)))</f>
        <v>1</v>
      </c>
    </row>
    <row r="277" customFormat="false" ht="15" hidden="false" customHeight="false" outlineLevel="0" collapsed="false">
      <c r="A277" s="49" t="str">
        <f aca="false">IF(B277="","",ROW()-4)</f>
        <v/>
      </c>
      <c r="B277" s="50"/>
      <c r="C277" s="50"/>
      <c r="D277" s="50"/>
      <c r="E277" s="51"/>
      <c r="F277" s="51"/>
      <c r="G277" s="51"/>
      <c r="H277" s="52"/>
      <c r="I277" s="53"/>
      <c r="J277" s="54"/>
      <c r="K277" s="53"/>
      <c r="L277" s="54"/>
      <c r="M277" s="55" t="str">
        <f aca="false">IF(L277="","",L277-J277)</f>
        <v/>
      </c>
      <c r="N277" s="56" t="str">
        <f aca="true">IF(I277="","",IF(K277&lt;&gt;"","PAGO",IF(I277&lt;TODAY(),"VENCIDO",IF(I277=TODAY(),"VENCE HOJE","A VENCER"))))</f>
        <v/>
      </c>
      <c r="O277" s="57" t="str">
        <f aca="true">IF(OR(I277="",K277&lt;&gt;""),"",I277-TODAY())</f>
        <v/>
      </c>
      <c r="P277" s="51"/>
      <c r="Q277" s="51"/>
      <c r="R277" s="51"/>
      <c r="S277" s="50"/>
      <c r="T277" s="50"/>
      <c r="U277" s="52"/>
      <c r="V277" s="58" t="n">
        <f aca="false">IF(OR(B277="",I277="",F277="",F277=Cadastros!$E$4,F277=Cadastros!$E$9),999999,IF(COUNTIFS($B$5:$B$504,B277,$I$5:$I$504,"&gt;"&amp;I277)=0,YEAR(I277)*12+MONTH(I277),999999))</f>
        <v>999999</v>
      </c>
      <c r="W277" s="58" t="n">
        <f aca="false">IF(U277="",999999,YEAR(U277)*12+MONTH(U277))</f>
        <v>999999</v>
      </c>
      <c r="X277" s="58" t="n">
        <f aca="false">IF(F277=Cadastros!$E$6,3,IF(F277=Cadastros!$E$7,6,IF(F277=Cadastros!$E$8,12,1)))</f>
        <v>1</v>
      </c>
    </row>
    <row r="278" customFormat="false" ht="15" hidden="false" customHeight="false" outlineLevel="0" collapsed="false">
      <c r="A278" s="49" t="str">
        <f aca="false">IF(B278="","",ROW()-4)</f>
        <v/>
      </c>
      <c r="B278" s="50"/>
      <c r="C278" s="50"/>
      <c r="D278" s="50"/>
      <c r="E278" s="51"/>
      <c r="F278" s="51"/>
      <c r="G278" s="51"/>
      <c r="H278" s="52"/>
      <c r="I278" s="53"/>
      <c r="J278" s="54"/>
      <c r="K278" s="53"/>
      <c r="L278" s="54"/>
      <c r="M278" s="55" t="str">
        <f aca="false">IF(L278="","",L278-J278)</f>
        <v/>
      </c>
      <c r="N278" s="56" t="str">
        <f aca="true">IF(I278="","",IF(K278&lt;&gt;"","PAGO",IF(I278&lt;TODAY(),"VENCIDO",IF(I278=TODAY(),"VENCE HOJE","A VENCER"))))</f>
        <v/>
      </c>
      <c r="O278" s="57" t="str">
        <f aca="true">IF(OR(I278="",K278&lt;&gt;""),"",I278-TODAY())</f>
        <v/>
      </c>
      <c r="P278" s="51"/>
      <c r="Q278" s="51"/>
      <c r="R278" s="51"/>
      <c r="S278" s="50"/>
      <c r="T278" s="50"/>
      <c r="U278" s="52"/>
      <c r="V278" s="58" t="n">
        <f aca="false">IF(OR(B278="",I278="",F278="",F278=Cadastros!$E$4,F278=Cadastros!$E$9),999999,IF(COUNTIFS($B$5:$B$504,B278,$I$5:$I$504,"&gt;"&amp;I278)=0,YEAR(I278)*12+MONTH(I278),999999))</f>
        <v>999999</v>
      </c>
      <c r="W278" s="58" t="n">
        <f aca="false">IF(U278="",999999,YEAR(U278)*12+MONTH(U278))</f>
        <v>999999</v>
      </c>
      <c r="X278" s="58" t="n">
        <f aca="false">IF(F278=Cadastros!$E$6,3,IF(F278=Cadastros!$E$7,6,IF(F278=Cadastros!$E$8,12,1)))</f>
        <v>1</v>
      </c>
    </row>
    <row r="279" customFormat="false" ht="15" hidden="false" customHeight="false" outlineLevel="0" collapsed="false">
      <c r="A279" s="49" t="str">
        <f aca="false">IF(B279="","",ROW()-4)</f>
        <v/>
      </c>
      <c r="B279" s="50"/>
      <c r="C279" s="50"/>
      <c r="D279" s="50"/>
      <c r="E279" s="51"/>
      <c r="F279" s="51"/>
      <c r="G279" s="51"/>
      <c r="H279" s="52"/>
      <c r="I279" s="53"/>
      <c r="J279" s="54"/>
      <c r="K279" s="53"/>
      <c r="L279" s="54"/>
      <c r="M279" s="55" t="str">
        <f aca="false">IF(L279="","",L279-J279)</f>
        <v/>
      </c>
      <c r="N279" s="56" t="str">
        <f aca="true">IF(I279="","",IF(K279&lt;&gt;"","PAGO",IF(I279&lt;TODAY(),"VENCIDO",IF(I279=TODAY(),"VENCE HOJE","A VENCER"))))</f>
        <v/>
      </c>
      <c r="O279" s="57" t="str">
        <f aca="true">IF(OR(I279="",K279&lt;&gt;""),"",I279-TODAY())</f>
        <v/>
      </c>
      <c r="P279" s="51"/>
      <c r="Q279" s="51"/>
      <c r="R279" s="51"/>
      <c r="S279" s="50"/>
      <c r="T279" s="50"/>
      <c r="U279" s="52"/>
      <c r="V279" s="58" t="n">
        <f aca="false">IF(OR(B279="",I279="",F279="",F279=Cadastros!$E$4,F279=Cadastros!$E$9),999999,IF(COUNTIFS($B$5:$B$504,B279,$I$5:$I$504,"&gt;"&amp;I279)=0,YEAR(I279)*12+MONTH(I279),999999))</f>
        <v>999999</v>
      </c>
      <c r="W279" s="58" t="n">
        <f aca="false">IF(U279="",999999,YEAR(U279)*12+MONTH(U279))</f>
        <v>999999</v>
      </c>
      <c r="X279" s="58" t="n">
        <f aca="false">IF(F279=Cadastros!$E$6,3,IF(F279=Cadastros!$E$7,6,IF(F279=Cadastros!$E$8,12,1)))</f>
        <v>1</v>
      </c>
    </row>
    <row r="280" customFormat="false" ht="15" hidden="false" customHeight="false" outlineLevel="0" collapsed="false">
      <c r="A280" s="49" t="str">
        <f aca="false">IF(B280="","",ROW()-4)</f>
        <v/>
      </c>
      <c r="B280" s="50"/>
      <c r="C280" s="50"/>
      <c r="D280" s="50"/>
      <c r="E280" s="51"/>
      <c r="F280" s="51"/>
      <c r="G280" s="51"/>
      <c r="H280" s="52"/>
      <c r="I280" s="53"/>
      <c r="J280" s="54"/>
      <c r="K280" s="53"/>
      <c r="L280" s="54"/>
      <c r="M280" s="55" t="str">
        <f aca="false">IF(L280="","",L280-J280)</f>
        <v/>
      </c>
      <c r="N280" s="56" t="str">
        <f aca="true">IF(I280="","",IF(K280&lt;&gt;"","PAGO",IF(I280&lt;TODAY(),"VENCIDO",IF(I280=TODAY(),"VENCE HOJE","A VENCER"))))</f>
        <v/>
      </c>
      <c r="O280" s="57" t="str">
        <f aca="true">IF(OR(I280="",K280&lt;&gt;""),"",I280-TODAY())</f>
        <v/>
      </c>
      <c r="P280" s="51"/>
      <c r="Q280" s="51"/>
      <c r="R280" s="51"/>
      <c r="S280" s="50"/>
      <c r="T280" s="50"/>
      <c r="U280" s="52"/>
      <c r="V280" s="58" t="n">
        <f aca="false">IF(OR(B280="",I280="",F280="",F280=Cadastros!$E$4,F280=Cadastros!$E$9),999999,IF(COUNTIFS($B$5:$B$504,B280,$I$5:$I$504,"&gt;"&amp;I280)=0,YEAR(I280)*12+MONTH(I280),999999))</f>
        <v>999999</v>
      </c>
      <c r="W280" s="58" t="n">
        <f aca="false">IF(U280="",999999,YEAR(U280)*12+MONTH(U280))</f>
        <v>999999</v>
      </c>
      <c r="X280" s="58" t="n">
        <f aca="false">IF(F280=Cadastros!$E$6,3,IF(F280=Cadastros!$E$7,6,IF(F280=Cadastros!$E$8,12,1)))</f>
        <v>1</v>
      </c>
    </row>
    <row r="281" customFormat="false" ht="15" hidden="false" customHeight="false" outlineLevel="0" collapsed="false">
      <c r="A281" s="49" t="str">
        <f aca="false">IF(B281="","",ROW()-4)</f>
        <v/>
      </c>
      <c r="B281" s="50"/>
      <c r="C281" s="50"/>
      <c r="D281" s="50"/>
      <c r="E281" s="51"/>
      <c r="F281" s="51"/>
      <c r="G281" s="51"/>
      <c r="H281" s="52"/>
      <c r="I281" s="53"/>
      <c r="J281" s="54"/>
      <c r="K281" s="53"/>
      <c r="L281" s="54"/>
      <c r="M281" s="55" t="str">
        <f aca="false">IF(L281="","",L281-J281)</f>
        <v/>
      </c>
      <c r="N281" s="56" t="str">
        <f aca="true">IF(I281="","",IF(K281&lt;&gt;"","PAGO",IF(I281&lt;TODAY(),"VENCIDO",IF(I281=TODAY(),"VENCE HOJE","A VENCER"))))</f>
        <v/>
      </c>
      <c r="O281" s="57" t="str">
        <f aca="true">IF(OR(I281="",K281&lt;&gt;""),"",I281-TODAY())</f>
        <v/>
      </c>
      <c r="P281" s="51"/>
      <c r="Q281" s="51"/>
      <c r="R281" s="51"/>
      <c r="S281" s="50"/>
      <c r="T281" s="50"/>
      <c r="U281" s="52"/>
      <c r="V281" s="58" t="n">
        <f aca="false">IF(OR(B281="",I281="",F281="",F281=Cadastros!$E$4,F281=Cadastros!$E$9),999999,IF(COUNTIFS($B$5:$B$504,B281,$I$5:$I$504,"&gt;"&amp;I281)=0,YEAR(I281)*12+MONTH(I281),999999))</f>
        <v>999999</v>
      </c>
      <c r="W281" s="58" t="n">
        <f aca="false">IF(U281="",999999,YEAR(U281)*12+MONTH(U281))</f>
        <v>999999</v>
      </c>
      <c r="X281" s="58" t="n">
        <f aca="false">IF(F281=Cadastros!$E$6,3,IF(F281=Cadastros!$E$7,6,IF(F281=Cadastros!$E$8,12,1)))</f>
        <v>1</v>
      </c>
    </row>
    <row r="282" customFormat="false" ht="15" hidden="false" customHeight="false" outlineLevel="0" collapsed="false">
      <c r="A282" s="49" t="str">
        <f aca="false">IF(B282="","",ROW()-4)</f>
        <v/>
      </c>
      <c r="B282" s="50"/>
      <c r="C282" s="50"/>
      <c r="D282" s="50"/>
      <c r="E282" s="51"/>
      <c r="F282" s="51"/>
      <c r="G282" s="51"/>
      <c r="H282" s="52"/>
      <c r="I282" s="53"/>
      <c r="J282" s="54"/>
      <c r="K282" s="53"/>
      <c r="L282" s="54"/>
      <c r="M282" s="55" t="str">
        <f aca="false">IF(L282="","",L282-J282)</f>
        <v/>
      </c>
      <c r="N282" s="56" t="str">
        <f aca="true">IF(I282="","",IF(K282&lt;&gt;"","PAGO",IF(I282&lt;TODAY(),"VENCIDO",IF(I282=TODAY(),"VENCE HOJE","A VENCER"))))</f>
        <v/>
      </c>
      <c r="O282" s="57" t="str">
        <f aca="true">IF(OR(I282="",K282&lt;&gt;""),"",I282-TODAY())</f>
        <v/>
      </c>
      <c r="P282" s="51"/>
      <c r="Q282" s="51"/>
      <c r="R282" s="51"/>
      <c r="S282" s="50"/>
      <c r="T282" s="50"/>
      <c r="U282" s="52"/>
      <c r="V282" s="58" t="n">
        <f aca="false">IF(OR(B282="",I282="",F282="",F282=Cadastros!$E$4,F282=Cadastros!$E$9),999999,IF(COUNTIFS($B$5:$B$504,B282,$I$5:$I$504,"&gt;"&amp;I282)=0,YEAR(I282)*12+MONTH(I282),999999))</f>
        <v>999999</v>
      </c>
      <c r="W282" s="58" t="n">
        <f aca="false">IF(U282="",999999,YEAR(U282)*12+MONTH(U282))</f>
        <v>999999</v>
      </c>
      <c r="X282" s="58" t="n">
        <f aca="false">IF(F282=Cadastros!$E$6,3,IF(F282=Cadastros!$E$7,6,IF(F282=Cadastros!$E$8,12,1)))</f>
        <v>1</v>
      </c>
    </row>
    <row r="283" customFormat="false" ht="15" hidden="false" customHeight="false" outlineLevel="0" collapsed="false">
      <c r="A283" s="49" t="str">
        <f aca="false">IF(B283="","",ROW()-4)</f>
        <v/>
      </c>
      <c r="B283" s="50"/>
      <c r="C283" s="50"/>
      <c r="D283" s="50"/>
      <c r="E283" s="51"/>
      <c r="F283" s="51"/>
      <c r="G283" s="51"/>
      <c r="H283" s="52"/>
      <c r="I283" s="53"/>
      <c r="J283" s="54"/>
      <c r="K283" s="53"/>
      <c r="L283" s="54"/>
      <c r="M283" s="55" t="str">
        <f aca="false">IF(L283="","",L283-J283)</f>
        <v/>
      </c>
      <c r="N283" s="56" t="str">
        <f aca="true">IF(I283="","",IF(K283&lt;&gt;"","PAGO",IF(I283&lt;TODAY(),"VENCIDO",IF(I283=TODAY(),"VENCE HOJE","A VENCER"))))</f>
        <v/>
      </c>
      <c r="O283" s="57" t="str">
        <f aca="true">IF(OR(I283="",K283&lt;&gt;""),"",I283-TODAY())</f>
        <v/>
      </c>
      <c r="P283" s="51"/>
      <c r="Q283" s="51"/>
      <c r="R283" s="51"/>
      <c r="S283" s="50"/>
      <c r="T283" s="50"/>
      <c r="U283" s="52"/>
      <c r="V283" s="58" t="n">
        <f aca="false">IF(OR(B283="",I283="",F283="",F283=Cadastros!$E$4,F283=Cadastros!$E$9),999999,IF(COUNTIFS($B$5:$B$504,B283,$I$5:$I$504,"&gt;"&amp;I283)=0,YEAR(I283)*12+MONTH(I283),999999))</f>
        <v>999999</v>
      </c>
      <c r="W283" s="58" t="n">
        <f aca="false">IF(U283="",999999,YEAR(U283)*12+MONTH(U283))</f>
        <v>999999</v>
      </c>
      <c r="X283" s="58" t="n">
        <f aca="false">IF(F283=Cadastros!$E$6,3,IF(F283=Cadastros!$E$7,6,IF(F283=Cadastros!$E$8,12,1)))</f>
        <v>1</v>
      </c>
    </row>
    <row r="284" customFormat="false" ht="15" hidden="false" customHeight="false" outlineLevel="0" collapsed="false">
      <c r="A284" s="49" t="str">
        <f aca="false">IF(B284="","",ROW()-4)</f>
        <v/>
      </c>
      <c r="B284" s="50"/>
      <c r="C284" s="50"/>
      <c r="D284" s="50"/>
      <c r="E284" s="51"/>
      <c r="F284" s="51"/>
      <c r="G284" s="51"/>
      <c r="H284" s="52"/>
      <c r="I284" s="53"/>
      <c r="J284" s="54"/>
      <c r="K284" s="53"/>
      <c r="L284" s="54"/>
      <c r="M284" s="55" t="str">
        <f aca="false">IF(L284="","",L284-J284)</f>
        <v/>
      </c>
      <c r="N284" s="56" t="str">
        <f aca="true">IF(I284="","",IF(K284&lt;&gt;"","PAGO",IF(I284&lt;TODAY(),"VENCIDO",IF(I284=TODAY(),"VENCE HOJE","A VENCER"))))</f>
        <v/>
      </c>
      <c r="O284" s="57" t="str">
        <f aca="true">IF(OR(I284="",K284&lt;&gt;""),"",I284-TODAY())</f>
        <v/>
      </c>
      <c r="P284" s="51"/>
      <c r="Q284" s="51"/>
      <c r="R284" s="51"/>
      <c r="S284" s="50"/>
      <c r="T284" s="50"/>
      <c r="U284" s="52"/>
      <c r="V284" s="58" t="n">
        <f aca="false">IF(OR(B284="",I284="",F284="",F284=Cadastros!$E$4,F284=Cadastros!$E$9),999999,IF(COUNTIFS($B$5:$B$504,B284,$I$5:$I$504,"&gt;"&amp;I284)=0,YEAR(I284)*12+MONTH(I284),999999))</f>
        <v>999999</v>
      </c>
      <c r="W284" s="58" t="n">
        <f aca="false">IF(U284="",999999,YEAR(U284)*12+MONTH(U284))</f>
        <v>999999</v>
      </c>
      <c r="X284" s="58" t="n">
        <f aca="false">IF(F284=Cadastros!$E$6,3,IF(F284=Cadastros!$E$7,6,IF(F284=Cadastros!$E$8,12,1)))</f>
        <v>1</v>
      </c>
    </row>
    <row r="285" customFormat="false" ht="15" hidden="false" customHeight="false" outlineLevel="0" collapsed="false">
      <c r="A285" s="49" t="str">
        <f aca="false">IF(B285="","",ROW()-4)</f>
        <v/>
      </c>
      <c r="B285" s="50"/>
      <c r="C285" s="50"/>
      <c r="D285" s="50"/>
      <c r="E285" s="51"/>
      <c r="F285" s="51"/>
      <c r="G285" s="51"/>
      <c r="H285" s="52"/>
      <c r="I285" s="53"/>
      <c r="J285" s="54"/>
      <c r="K285" s="53"/>
      <c r="L285" s="54"/>
      <c r="M285" s="55" t="str">
        <f aca="false">IF(L285="","",L285-J285)</f>
        <v/>
      </c>
      <c r="N285" s="56" t="str">
        <f aca="true">IF(I285="","",IF(K285&lt;&gt;"","PAGO",IF(I285&lt;TODAY(),"VENCIDO",IF(I285=TODAY(),"VENCE HOJE","A VENCER"))))</f>
        <v/>
      </c>
      <c r="O285" s="57" t="str">
        <f aca="true">IF(OR(I285="",K285&lt;&gt;""),"",I285-TODAY())</f>
        <v/>
      </c>
      <c r="P285" s="51"/>
      <c r="Q285" s="51"/>
      <c r="R285" s="51"/>
      <c r="S285" s="50"/>
      <c r="T285" s="50"/>
      <c r="U285" s="52"/>
      <c r="V285" s="58" t="n">
        <f aca="false">IF(OR(B285="",I285="",F285="",F285=Cadastros!$E$4,F285=Cadastros!$E$9),999999,IF(COUNTIFS($B$5:$B$504,B285,$I$5:$I$504,"&gt;"&amp;I285)=0,YEAR(I285)*12+MONTH(I285),999999))</f>
        <v>999999</v>
      </c>
      <c r="W285" s="58" t="n">
        <f aca="false">IF(U285="",999999,YEAR(U285)*12+MONTH(U285))</f>
        <v>999999</v>
      </c>
      <c r="X285" s="58" t="n">
        <f aca="false">IF(F285=Cadastros!$E$6,3,IF(F285=Cadastros!$E$7,6,IF(F285=Cadastros!$E$8,12,1)))</f>
        <v>1</v>
      </c>
    </row>
    <row r="286" customFormat="false" ht="15" hidden="false" customHeight="false" outlineLevel="0" collapsed="false">
      <c r="A286" s="49" t="str">
        <f aca="false">IF(B286="","",ROW()-4)</f>
        <v/>
      </c>
      <c r="B286" s="50"/>
      <c r="C286" s="50"/>
      <c r="D286" s="50"/>
      <c r="E286" s="51"/>
      <c r="F286" s="51"/>
      <c r="G286" s="51"/>
      <c r="H286" s="52"/>
      <c r="I286" s="53"/>
      <c r="J286" s="54"/>
      <c r="K286" s="53"/>
      <c r="L286" s="54"/>
      <c r="M286" s="55" t="str">
        <f aca="false">IF(L286="","",L286-J286)</f>
        <v/>
      </c>
      <c r="N286" s="56" t="str">
        <f aca="true">IF(I286="","",IF(K286&lt;&gt;"","PAGO",IF(I286&lt;TODAY(),"VENCIDO",IF(I286=TODAY(),"VENCE HOJE","A VENCER"))))</f>
        <v/>
      </c>
      <c r="O286" s="57" t="str">
        <f aca="true">IF(OR(I286="",K286&lt;&gt;""),"",I286-TODAY())</f>
        <v/>
      </c>
      <c r="P286" s="51"/>
      <c r="Q286" s="51"/>
      <c r="R286" s="51"/>
      <c r="S286" s="50"/>
      <c r="T286" s="50"/>
      <c r="U286" s="52"/>
      <c r="V286" s="58" t="n">
        <f aca="false">IF(OR(B286="",I286="",F286="",F286=Cadastros!$E$4,F286=Cadastros!$E$9),999999,IF(COUNTIFS($B$5:$B$504,B286,$I$5:$I$504,"&gt;"&amp;I286)=0,YEAR(I286)*12+MONTH(I286),999999))</f>
        <v>999999</v>
      </c>
      <c r="W286" s="58" t="n">
        <f aca="false">IF(U286="",999999,YEAR(U286)*12+MONTH(U286))</f>
        <v>999999</v>
      </c>
      <c r="X286" s="58" t="n">
        <f aca="false">IF(F286=Cadastros!$E$6,3,IF(F286=Cadastros!$E$7,6,IF(F286=Cadastros!$E$8,12,1)))</f>
        <v>1</v>
      </c>
    </row>
    <row r="287" customFormat="false" ht="15" hidden="false" customHeight="false" outlineLevel="0" collapsed="false">
      <c r="A287" s="49" t="str">
        <f aca="false">IF(B287="","",ROW()-4)</f>
        <v/>
      </c>
      <c r="B287" s="50"/>
      <c r="C287" s="50"/>
      <c r="D287" s="50"/>
      <c r="E287" s="51"/>
      <c r="F287" s="51"/>
      <c r="G287" s="51"/>
      <c r="H287" s="52"/>
      <c r="I287" s="53"/>
      <c r="J287" s="54"/>
      <c r="K287" s="53"/>
      <c r="L287" s="54"/>
      <c r="M287" s="55" t="str">
        <f aca="false">IF(L287="","",L287-J287)</f>
        <v/>
      </c>
      <c r="N287" s="56" t="str">
        <f aca="true">IF(I287="","",IF(K287&lt;&gt;"","PAGO",IF(I287&lt;TODAY(),"VENCIDO",IF(I287=TODAY(),"VENCE HOJE","A VENCER"))))</f>
        <v/>
      </c>
      <c r="O287" s="57" t="str">
        <f aca="true">IF(OR(I287="",K287&lt;&gt;""),"",I287-TODAY())</f>
        <v/>
      </c>
      <c r="P287" s="51"/>
      <c r="Q287" s="51"/>
      <c r="R287" s="51"/>
      <c r="S287" s="50"/>
      <c r="T287" s="50"/>
      <c r="U287" s="52"/>
      <c r="V287" s="58" t="n">
        <f aca="false">IF(OR(B287="",I287="",F287="",F287=Cadastros!$E$4,F287=Cadastros!$E$9),999999,IF(COUNTIFS($B$5:$B$504,B287,$I$5:$I$504,"&gt;"&amp;I287)=0,YEAR(I287)*12+MONTH(I287),999999))</f>
        <v>999999</v>
      </c>
      <c r="W287" s="58" t="n">
        <f aca="false">IF(U287="",999999,YEAR(U287)*12+MONTH(U287))</f>
        <v>999999</v>
      </c>
      <c r="X287" s="58" t="n">
        <f aca="false">IF(F287=Cadastros!$E$6,3,IF(F287=Cadastros!$E$7,6,IF(F287=Cadastros!$E$8,12,1)))</f>
        <v>1</v>
      </c>
    </row>
    <row r="288" customFormat="false" ht="15" hidden="false" customHeight="false" outlineLevel="0" collapsed="false">
      <c r="A288" s="49" t="str">
        <f aca="false">IF(B288="","",ROW()-4)</f>
        <v/>
      </c>
      <c r="B288" s="50"/>
      <c r="C288" s="50"/>
      <c r="D288" s="50"/>
      <c r="E288" s="51"/>
      <c r="F288" s="51"/>
      <c r="G288" s="51"/>
      <c r="H288" s="52"/>
      <c r="I288" s="53"/>
      <c r="J288" s="54"/>
      <c r="K288" s="53"/>
      <c r="L288" s="54"/>
      <c r="M288" s="55" t="str">
        <f aca="false">IF(L288="","",L288-J288)</f>
        <v/>
      </c>
      <c r="N288" s="56" t="str">
        <f aca="true">IF(I288="","",IF(K288&lt;&gt;"","PAGO",IF(I288&lt;TODAY(),"VENCIDO",IF(I288=TODAY(),"VENCE HOJE","A VENCER"))))</f>
        <v/>
      </c>
      <c r="O288" s="57" t="str">
        <f aca="true">IF(OR(I288="",K288&lt;&gt;""),"",I288-TODAY())</f>
        <v/>
      </c>
      <c r="P288" s="51"/>
      <c r="Q288" s="51"/>
      <c r="R288" s="51"/>
      <c r="S288" s="50"/>
      <c r="T288" s="50"/>
      <c r="U288" s="52"/>
      <c r="V288" s="58" t="n">
        <f aca="false">IF(OR(B288="",I288="",F288="",F288=Cadastros!$E$4,F288=Cadastros!$E$9),999999,IF(COUNTIFS($B$5:$B$504,B288,$I$5:$I$504,"&gt;"&amp;I288)=0,YEAR(I288)*12+MONTH(I288),999999))</f>
        <v>999999</v>
      </c>
      <c r="W288" s="58" t="n">
        <f aca="false">IF(U288="",999999,YEAR(U288)*12+MONTH(U288))</f>
        <v>999999</v>
      </c>
      <c r="X288" s="58" t="n">
        <f aca="false">IF(F288=Cadastros!$E$6,3,IF(F288=Cadastros!$E$7,6,IF(F288=Cadastros!$E$8,12,1)))</f>
        <v>1</v>
      </c>
    </row>
    <row r="289" customFormat="false" ht="15" hidden="false" customHeight="false" outlineLevel="0" collapsed="false">
      <c r="A289" s="49" t="str">
        <f aca="false">IF(B289="","",ROW()-4)</f>
        <v/>
      </c>
      <c r="B289" s="50"/>
      <c r="C289" s="50"/>
      <c r="D289" s="50"/>
      <c r="E289" s="51"/>
      <c r="F289" s="51"/>
      <c r="G289" s="51"/>
      <c r="H289" s="52"/>
      <c r="I289" s="53"/>
      <c r="J289" s="54"/>
      <c r="K289" s="53"/>
      <c r="L289" s="54"/>
      <c r="M289" s="55" t="str">
        <f aca="false">IF(L289="","",L289-J289)</f>
        <v/>
      </c>
      <c r="N289" s="56" t="str">
        <f aca="true">IF(I289="","",IF(K289&lt;&gt;"","PAGO",IF(I289&lt;TODAY(),"VENCIDO",IF(I289=TODAY(),"VENCE HOJE","A VENCER"))))</f>
        <v/>
      </c>
      <c r="O289" s="57" t="str">
        <f aca="true">IF(OR(I289="",K289&lt;&gt;""),"",I289-TODAY())</f>
        <v/>
      </c>
      <c r="P289" s="51"/>
      <c r="Q289" s="51"/>
      <c r="R289" s="51"/>
      <c r="S289" s="50"/>
      <c r="T289" s="50"/>
      <c r="U289" s="52"/>
      <c r="V289" s="58" t="n">
        <f aca="false">IF(OR(B289="",I289="",F289="",F289=Cadastros!$E$4,F289=Cadastros!$E$9),999999,IF(COUNTIFS($B$5:$B$504,B289,$I$5:$I$504,"&gt;"&amp;I289)=0,YEAR(I289)*12+MONTH(I289),999999))</f>
        <v>999999</v>
      </c>
      <c r="W289" s="58" t="n">
        <f aca="false">IF(U289="",999999,YEAR(U289)*12+MONTH(U289))</f>
        <v>999999</v>
      </c>
      <c r="X289" s="58" t="n">
        <f aca="false">IF(F289=Cadastros!$E$6,3,IF(F289=Cadastros!$E$7,6,IF(F289=Cadastros!$E$8,12,1)))</f>
        <v>1</v>
      </c>
    </row>
    <row r="290" customFormat="false" ht="15" hidden="false" customHeight="false" outlineLevel="0" collapsed="false">
      <c r="A290" s="49" t="str">
        <f aca="false">IF(B290="","",ROW()-4)</f>
        <v/>
      </c>
      <c r="B290" s="50"/>
      <c r="C290" s="50"/>
      <c r="D290" s="50"/>
      <c r="E290" s="51"/>
      <c r="F290" s="51"/>
      <c r="G290" s="51"/>
      <c r="H290" s="52"/>
      <c r="I290" s="53"/>
      <c r="J290" s="54"/>
      <c r="K290" s="53"/>
      <c r="L290" s="54"/>
      <c r="M290" s="55" t="str">
        <f aca="false">IF(L290="","",L290-J290)</f>
        <v/>
      </c>
      <c r="N290" s="56" t="str">
        <f aca="true">IF(I290="","",IF(K290&lt;&gt;"","PAGO",IF(I290&lt;TODAY(),"VENCIDO",IF(I290=TODAY(),"VENCE HOJE","A VENCER"))))</f>
        <v/>
      </c>
      <c r="O290" s="57" t="str">
        <f aca="true">IF(OR(I290="",K290&lt;&gt;""),"",I290-TODAY())</f>
        <v/>
      </c>
      <c r="P290" s="51"/>
      <c r="Q290" s="51"/>
      <c r="R290" s="51"/>
      <c r="S290" s="50"/>
      <c r="T290" s="50"/>
      <c r="U290" s="52"/>
      <c r="V290" s="58" t="n">
        <f aca="false">IF(OR(B290="",I290="",F290="",F290=Cadastros!$E$4,F290=Cadastros!$E$9),999999,IF(COUNTIFS($B$5:$B$504,B290,$I$5:$I$504,"&gt;"&amp;I290)=0,YEAR(I290)*12+MONTH(I290),999999))</f>
        <v>999999</v>
      </c>
      <c r="W290" s="58" t="n">
        <f aca="false">IF(U290="",999999,YEAR(U290)*12+MONTH(U290))</f>
        <v>999999</v>
      </c>
      <c r="X290" s="58" t="n">
        <f aca="false">IF(F290=Cadastros!$E$6,3,IF(F290=Cadastros!$E$7,6,IF(F290=Cadastros!$E$8,12,1)))</f>
        <v>1</v>
      </c>
    </row>
    <row r="291" customFormat="false" ht="15" hidden="false" customHeight="false" outlineLevel="0" collapsed="false">
      <c r="A291" s="49" t="str">
        <f aca="false">IF(B291="","",ROW()-4)</f>
        <v/>
      </c>
      <c r="B291" s="50"/>
      <c r="C291" s="50"/>
      <c r="D291" s="50"/>
      <c r="E291" s="51"/>
      <c r="F291" s="51"/>
      <c r="G291" s="51"/>
      <c r="H291" s="52"/>
      <c r="I291" s="53"/>
      <c r="J291" s="54"/>
      <c r="K291" s="53"/>
      <c r="L291" s="54"/>
      <c r="M291" s="55" t="str">
        <f aca="false">IF(L291="","",L291-J291)</f>
        <v/>
      </c>
      <c r="N291" s="56" t="str">
        <f aca="true">IF(I291="","",IF(K291&lt;&gt;"","PAGO",IF(I291&lt;TODAY(),"VENCIDO",IF(I291=TODAY(),"VENCE HOJE","A VENCER"))))</f>
        <v/>
      </c>
      <c r="O291" s="57" t="str">
        <f aca="true">IF(OR(I291="",K291&lt;&gt;""),"",I291-TODAY())</f>
        <v/>
      </c>
      <c r="P291" s="51"/>
      <c r="Q291" s="51"/>
      <c r="R291" s="51"/>
      <c r="S291" s="50"/>
      <c r="T291" s="50"/>
      <c r="U291" s="52"/>
      <c r="V291" s="58" t="n">
        <f aca="false">IF(OR(B291="",I291="",F291="",F291=Cadastros!$E$4,F291=Cadastros!$E$9),999999,IF(COUNTIFS($B$5:$B$504,B291,$I$5:$I$504,"&gt;"&amp;I291)=0,YEAR(I291)*12+MONTH(I291),999999))</f>
        <v>999999</v>
      </c>
      <c r="W291" s="58" t="n">
        <f aca="false">IF(U291="",999999,YEAR(U291)*12+MONTH(U291))</f>
        <v>999999</v>
      </c>
      <c r="X291" s="58" t="n">
        <f aca="false">IF(F291=Cadastros!$E$6,3,IF(F291=Cadastros!$E$7,6,IF(F291=Cadastros!$E$8,12,1)))</f>
        <v>1</v>
      </c>
    </row>
    <row r="292" customFormat="false" ht="15" hidden="false" customHeight="false" outlineLevel="0" collapsed="false">
      <c r="A292" s="49" t="str">
        <f aca="false">IF(B292="","",ROW()-4)</f>
        <v/>
      </c>
      <c r="B292" s="50"/>
      <c r="C292" s="50"/>
      <c r="D292" s="50"/>
      <c r="E292" s="51"/>
      <c r="F292" s="51"/>
      <c r="G292" s="51"/>
      <c r="H292" s="52"/>
      <c r="I292" s="53"/>
      <c r="J292" s="54"/>
      <c r="K292" s="53"/>
      <c r="L292" s="54"/>
      <c r="M292" s="55" t="str">
        <f aca="false">IF(L292="","",L292-J292)</f>
        <v/>
      </c>
      <c r="N292" s="56" t="str">
        <f aca="true">IF(I292="","",IF(K292&lt;&gt;"","PAGO",IF(I292&lt;TODAY(),"VENCIDO",IF(I292=TODAY(),"VENCE HOJE","A VENCER"))))</f>
        <v/>
      </c>
      <c r="O292" s="57" t="str">
        <f aca="true">IF(OR(I292="",K292&lt;&gt;""),"",I292-TODAY())</f>
        <v/>
      </c>
      <c r="P292" s="51"/>
      <c r="Q292" s="51"/>
      <c r="R292" s="51"/>
      <c r="S292" s="50"/>
      <c r="T292" s="50"/>
      <c r="U292" s="52"/>
      <c r="V292" s="58" t="n">
        <f aca="false">IF(OR(B292="",I292="",F292="",F292=Cadastros!$E$4,F292=Cadastros!$E$9),999999,IF(COUNTIFS($B$5:$B$504,B292,$I$5:$I$504,"&gt;"&amp;I292)=0,YEAR(I292)*12+MONTH(I292),999999))</f>
        <v>999999</v>
      </c>
      <c r="W292" s="58" t="n">
        <f aca="false">IF(U292="",999999,YEAR(U292)*12+MONTH(U292))</f>
        <v>999999</v>
      </c>
      <c r="X292" s="58" t="n">
        <f aca="false">IF(F292=Cadastros!$E$6,3,IF(F292=Cadastros!$E$7,6,IF(F292=Cadastros!$E$8,12,1)))</f>
        <v>1</v>
      </c>
    </row>
    <row r="293" customFormat="false" ht="15" hidden="false" customHeight="false" outlineLevel="0" collapsed="false">
      <c r="A293" s="49" t="str">
        <f aca="false">IF(B293="","",ROW()-4)</f>
        <v/>
      </c>
      <c r="B293" s="50"/>
      <c r="C293" s="50"/>
      <c r="D293" s="50"/>
      <c r="E293" s="51"/>
      <c r="F293" s="51"/>
      <c r="G293" s="51"/>
      <c r="H293" s="52"/>
      <c r="I293" s="53"/>
      <c r="J293" s="54"/>
      <c r="K293" s="53"/>
      <c r="L293" s="54"/>
      <c r="M293" s="55" t="str">
        <f aca="false">IF(L293="","",L293-J293)</f>
        <v/>
      </c>
      <c r="N293" s="56" t="str">
        <f aca="true">IF(I293="","",IF(K293&lt;&gt;"","PAGO",IF(I293&lt;TODAY(),"VENCIDO",IF(I293=TODAY(),"VENCE HOJE","A VENCER"))))</f>
        <v/>
      </c>
      <c r="O293" s="57" t="str">
        <f aca="true">IF(OR(I293="",K293&lt;&gt;""),"",I293-TODAY())</f>
        <v/>
      </c>
      <c r="P293" s="51"/>
      <c r="Q293" s="51"/>
      <c r="R293" s="51"/>
      <c r="S293" s="50"/>
      <c r="T293" s="50"/>
      <c r="U293" s="52"/>
      <c r="V293" s="58" t="n">
        <f aca="false">IF(OR(B293="",I293="",F293="",F293=Cadastros!$E$4,F293=Cadastros!$E$9),999999,IF(COUNTIFS($B$5:$B$504,B293,$I$5:$I$504,"&gt;"&amp;I293)=0,YEAR(I293)*12+MONTH(I293),999999))</f>
        <v>999999</v>
      </c>
      <c r="W293" s="58" t="n">
        <f aca="false">IF(U293="",999999,YEAR(U293)*12+MONTH(U293))</f>
        <v>999999</v>
      </c>
      <c r="X293" s="58" t="n">
        <f aca="false">IF(F293=Cadastros!$E$6,3,IF(F293=Cadastros!$E$7,6,IF(F293=Cadastros!$E$8,12,1)))</f>
        <v>1</v>
      </c>
    </row>
    <row r="294" customFormat="false" ht="15" hidden="false" customHeight="false" outlineLevel="0" collapsed="false">
      <c r="A294" s="49" t="str">
        <f aca="false">IF(B294="","",ROW()-4)</f>
        <v/>
      </c>
      <c r="B294" s="50"/>
      <c r="C294" s="50"/>
      <c r="D294" s="50"/>
      <c r="E294" s="51"/>
      <c r="F294" s="51"/>
      <c r="G294" s="51"/>
      <c r="H294" s="52"/>
      <c r="I294" s="53"/>
      <c r="J294" s="54"/>
      <c r="K294" s="53"/>
      <c r="L294" s="54"/>
      <c r="M294" s="55" t="str">
        <f aca="false">IF(L294="","",L294-J294)</f>
        <v/>
      </c>
      <c r="N294" s="56" t="str">
        <f aca="true">IF(I294="","",IF(K294&lt;&gt;"","PAGO",IF(I294&lt;TODAY(),"VENCIDO",IF(I294=TODAY(),"VENCE HOJE","A VENCER"))))</f>
        <v/>
      </c>
      <c r="O294" s="57" t="str">
        <f aca="true">IF(OR(I294="",K294&lt;&gt;""),"",I294-TODAY())</f>
        <v/>
      </c>
      <c r="P294" s="51"/>
      <c r="Q294" s="51"/>
      <c r="R294" s="51"/>
      <c r="S294" s="50"/>
      <c r="T294" s="50"/>
      <c r="U294" s="52"/>
      <c r="V294" s="58" t="n">
        <f aca="false">IF(OR(B294="",I294="",F294="",F294=Cadastros!$E$4,F294=Cadastros!$E$9),999999,IF(COUNTIFS($B$5:$B$504,B294,$I$5:$I$504,"&gt;"&amp;I294)=0,YEAR(I294)*12+MONTH(I294),999999))</f>
        <v>999999</v>
      </c>
      <c r="W294" s="58" t="n">
        <f aca="false">IF(U294="",999999,YEAR(U294)*12+MONTH(U294))</f>
        <v>999999</v>
      </c>
      <c r="X294" s="58" t="n">
        <f aca="false">IF(F294=Cadastros!$E$6,3,IF(F294=Cadastros!$E$7,6,IF(F294=Cadastros!$E$8,12,1)))</f>
        <v>1</v>
      </c>
    </row>
    <row r="295" customFormat="false" ht="15" hidden="false" customHeight="false" outlineLevel="0" collapsed="false">
      <c r="A295" s="49" t="str">
        <f aca="false">IF(B295="","",ROW()-4)</f>
        <v/>
      </c>
      <c r="B295" s="50"/>
      <c r="C295" s="50"/>
      <c r="D295" s="50"/>
      <c r="E295" s="51"/>
      <c r="F295" s="51"/>
      <c r="G295" s="51"/>
      <c r="H295" s="52"/>
      <c r="I295" s="53"/>
      <c r="J295" s="54"/>
      <c r="K295" s="53"/>
      <c r="L295" s="54"/>
      <c r="M295" s="55" t="str">
        <f aca="false">IF(L295="","",L295-J295)</f>
        <v/>
      </c>
      <c r="N295" s="56" t="str">
        <f aca="true">IF(I295="","",IF(K295&lt;&gt;"","PAGO",IF(I295&lt;TODAY(),"VENCIDO",IF(I295=TODAY(),"VENCE HOJE","A VENCER"))))</f>
        <v/>
      </c>
      <c r="O295" s="57" t="str">
        <f aca="true">IF(OR(I295="",K295&lt;&gt;""),"",I295-TODAY())</f>
        <v/>
      </c>
      <c r="P295" s="51"/>
      <c r="Q295" s="51"/>
      <c r="R295" s="51"/>
      <c r="S295" s="50"/>
      <c r="T295" s="50"/>
      <c r="U295" s="52"/>
      <c r="V295" s="58" t="n">
        <f aca="false">IF(OR(B295="",I295="",F295="",F295=Cadastros!$E$4,F295=Cadastros!$E$9),999999,IF(COUNTIFS($B$5:$B$504,B295,$I$5:$I$504,"&gt;"&amp;I295)=0,YEAR(I295)*12+MONTH(I295),999999))</f>
        <v>999999</v>
      </c>
      <c r="W295" s="58" t="n">
        <f aca="false">IF(U295="",999999,YEAR(U295)*12+MONTH(U295))</f>
        <v>999999</v>
      </c>
      <c r="X295" s="58" t="n">
        <f aca="false">IF(F295=Cadastros!$E$6,3,IF(F295=Cadastros!$E$7,6,IF(F295=Cadastros!$E$8,12,1)))</f>
        <v>1</v>
      </c>
    </row>
    <row r="296" customFormat="false" ht="15" hidden="false" customHeight="false" outlineLevel="0" collapsed="false">
      <c r="A296" s="49" t="str">
        <f aca="false">IF(B296="","",ROW()-4)</f>
        <v/>
      </c>
      <c r="B296" s="50"/>
      <c r="C296" s="50"/>
      <c r="D296" s="50"/>
      <c r="E296" s="51"/>
      <c r="F296" s="51"/>
      <c r="G296" s="51"/>
      <c r="H296" s="52"/>
      <c r="I296" s="53"/>
      <c r="J296" s="54"/>
      <c r="K296" s="53"/>
      <c r="L296" s="54"/>
      <c r="M296" s="55" t="str">
        <f aca="false">IF(L296="","",L296-J296)</f>
        <v/>
      </c>
      <c r="N296" s="56" t="str">
        <f aca="true">IF(I296="","",IF(K296&lt;&gt;"","PAGO",IF(I296&lt;TODAY(),"VENCIDO",IF(I296=TODAY(),"VENCE HOJE","A VENCER"))))</f>
        <v/>
      </c>
      <c r="O296" s="57" t="str">
        <f aca="true">IF(OR(I296="",K296&lt;&gt;""),"",I296-TODAY())</f>
        <v/>
      </c>
      <c r="P296" s="51"/>
      <c r="Q296" s="51"/>
      <c r="R296" s="51"/>
      <c r="S296" s="50"/>
      <c r="T296" s="50"/>
      <c r="U296" s="52"/>
      <c r="V296" s="58" t="n">
        <f aca="false">IF(OR(B296="",I296="",F296="",F296=Cadastros!$E$4,F296=Cadastros!$E$9),999999,IF(COUNTIFS($B$5:$B$504,B296,$I$5:$I$504,"&gt;"&amp;I296)=0,YEAR(I296)*12+MONTH(I296),999999))</f>
        <v>999999</v>
      </c>
      <c r="W296" s="58" t="n">
        <f aca="false">IF(U296="",999999,YEAR(U296)*12+MONTH(U296))</f>
        <v>999999</v>
      </c>
      <c r="X296" s="58" t="n">
        <f aca="false">IF(F296=Cadastros!$E$6,3,IF(F296=Cadastros!$E$7,6,IF(F296=Cadastros!$E$8,12,1)))</f>
        <v>1</v>
      </c>
    </row>
    <row r="297" customFormat="false" ht="15" hidden="false" customHeight="false" outlineLevel="0" collapsed="false">
      <c r="A297" s="49" t="str">
        <f aca="false">IF(B297="","",ROW()-4)</f>
        <v/>
      </c>
      <c r="B297" s="50"/>
      <c r="C297" s="50"/>
      <c r="D297" s="50"/>
      <c r="E297" s="51"/>
      <c r="F297" s="51"/>
      <c r="G297" s="51"/>
      <c r="H297" s="52"/>
      <c r="I297" s="53"/>
      <c r="J297" s="54"/>
      <c r="K297" s="53"/>
      <c r="L297" s="54"/>
      <c r="M297" s="55" t="str">
        <f aca="false">IF(L297="","",L297-J297)</f>
        <v/>
      </c>
      <c r="N297" s="56" t="str">
        <f aca="true">IF(I297="","",IF(K297&lt;&gt;"","PAGO",IF(I297&lt;TODAY(),"VENCIDO",IF(I297=TODAY(),"VENCE HOJE","A VENCER"))))</f>
        <v/>
      </c>
      <c r="O297" s="57" t="str">
        <f aca="true">IF(OR(I297="",K297&lt;&gt;""),"",I297-TODAY())</f>
        <v/>
      </c>
      <c r="P297" s="51"/>
      <c r="Q297" s="51"/>
      <c r="R297" s="51"/>
      <c r="S297" s="50"/>
      <c r="T297" s="50"/>
      <c r="U297" s="52"/>
      <c r="V297" s="58" t="n">
        <f aca="false">IF(OR(B297="",I297="",F297="",F297=Cadastros!$E$4,F297=Cadastros!$E$9),999999,IF(COUNTIFS($B$5:$B$504,B297,$I$5:$I$504,"&gt;"&amp;I297)=0,YEAR(I297)*12+MONTH(I297),999999))</f>
        <v>999999</v>
      </c>
      <c r="W297" s="58" t="n">
        <f aca="false">IF(U297="",999999,YEAR(U297)*12+MONTH(U297))</f>
        <v>999999</v>
      </c>
      <c r="X297" s="58" t="n">
        <f aca="false">IF(F297=Cadastros!$E$6,3,IF(F297=Cadastros!$E$7,6,IF(F297=Cadastros!$E$8,12,1)))</f>
        <v>1</v>
      </c>
    </row>
    <row r="298" customFormat="false" ht="15" hidden="false" customHeight="false" outlineLevel="0" collapsed="false">
      <c r="A298" s="49" t="str">
        <f aca="false">IF(B298="","",ROW()-4)</f>
        <v/>
      </c>
      <c r="B298" s="50"/>
      <c r="C298" s="50"/>
      <c r="D298" s="50"/>
      <c r="E298" s="51"/>
      <c r="F298" s="51"/>
      <c r="G298" s="51"/>
      <c r="H298" s="52"/>
      <c r="I298" s="53"/>
      <c r="J298" s="54"/>
      <c r="K298" s="53"/>
      <c r="L298" s="54"/>
      <c r="M298" s="55" t="str">
        <f aca="false">IF(L298="","",L298-J298)</f>
        <v/>
      </c>
      <c r="N298" s="56" t="str">
        <f aca="true">IF(I298="","",IF(K298&lt;&gt;"","PAGO",IF(I298&lt;TODAY(),"VENCIDO",IF(I298=TODAY(),"VENCE HOJE","A VENCER"))))</f>
        <v/>
      </c>
      <c r="O298" s="57" t="str">
        <f aca="true">IF(OR(I298="",K298&lt;&gt;""),"",I298-TODAY())</f>
        <v/>
      </c>
      <c r="P298" s="51"/>
      <c r="Q298" s="51"/>
      <c r="R298" s="51"/>
      <c r="S298" s="50"/>
      <c r="T298" s="50"/>
      <c r="U298" s="52"/>
      <c r="V298" s="58" t="n">
        <f aca="false">IF(OR(B298="",I298="",F298="",F298=Cadastros!$E$4,F298=Cadastros!$E$9),999999,IF(COUNTIFS($B$5:$B$504,B298,$I$5:$I$504,"&gt;"&amp;I298)=0,YEAR(I298)*12+MONTH(I298),999999))</f>
        <v>999999</v>
      </c>
      <c r="W298" s="58" t="n">
        <f aca="false">IF(U298="",999999,YEAR(U298)*12+MONTH(U298))</f>
        <v>999999</v>
      </c>
      <c r="X298" s="58" t="n">
        <f aca="false">IF(F298=Cadastros!$E$6,3,IF(F298=Cadastros!$E$7,6,IF(F298=Cadastros!$E$8,12,1)))</f>
        <v>1</v>
      </c>
    </row>
    <row r="299" customFormat="false" ht="15" hidden="false" customHeight="false" outlineLevel="0" collapsed="false">
      <c r="A299" s="49" t="str">
        <f aca="false">IF(B299="","",ROW()-4)</f>
        <v/>
      </c>
      <c r="B299" s="50"/>
      <c r="C299" s="50"/>
      <c r="D299" s="50"/>
      <c r="E299" s="51"/>
      <c r="F299" s="51"/>
      <c r="G299" s="51"/>
      <c r="H299" s="52"/>
      <c r="I299" s="53"/>
      <c r="J299" s="54"/>
      <c r="K299" s="53"/>
      <c r="L299" s="54"/>
      <c r="M299" s="55" t="str">
        <f aca="false">IF(L299="","",L299-J299)</f>
        <v/>
      </c>
      <c r="N299" s="56" t="str">
        <f aca="true">IF(I299="","",IF(K299&lt;&gt;"","PAGO",IF(I299&lt;TODAY(),"VENCIDO",IF(I299=TODAY(),"VENCE HOJE","A VENCER"))))</f>
        <v/>
      </c>
      <c r="O299" s="57" t="str">
        <f aca="true">IF(OR(I299="",K299&lt;&gt;""),"",I299-TODAY())</f>
        <v/>
      </c>
      <c r="P299" s="51"/>
      <c r="Q299" s="51"/>
      <c r="R299" s="51"/>
      <c r="S299" s="50"/>
      <c r="T299" s="50"/>
      <c r="U299" s="52"/>
      <c r="V299" s="58" t="n">
        <f aca="false">IF(OR(B299="",I299="",F299="",F299=Cadastros!$E$4,F299=Cadastros!$E$9),999999,IF(COUNTIFS($B$5:$B$504,B299,$I$5:$I$504,"&gt;"&amp;I299)=0,YEAR(I299)*12+MONTH(I299),999999))</f>
        <v>999999</v>
      </c>
      <c r="W299" s="58" t="n">
        <f aca="false">IF(U299="",999999,YEAR(U299)*12+MONTH(U299))</f>
        <v>999999</v>
      </c>
      <c r="X299" s="58" t="n">
        <f aca="false">IF(F299=Cadastros!$E$6,3,IF(F299=Cadastros!$E$7,6,IF(F299=Cadastros!$E$8,12,1)))</f>
        <v>1</v>
      </c>
    </row>
    <row r="300" customFormat="false" ht="15" hidden="false" customHeight="false" outlineLevel="0" collapsed="false">
      <c r="A300" s="49" t="str">
        <f aca="false">IF(B300="","",ROW()-4)</f>
        <v/>
      </c>
      <c r="B300" s="50"/>
      <c r="C300" s="50"/>
      <c r="D300" s="50"/>
      <c r="E300" s="51"/>
      <c r="F300" s="51"/>
      <c r="G300" s="51"/>
      <c r="H300" s="52"/>
      <c r="I300" s="53"/>
      <c r="J300" s="54"/>
      <c r="K300" s="53"/>
      <c r="L300" s="54"/>
      <c r="M300" s="55" t="str">
        <f aca="false">IF(L300="","",L300-J300)</f>
        <v/>
      </c>
      <c r="N300" s="56" t="str">
        <f aca="true">IF(I300="","",IF(K300&lt;&gt;"","PAGO",IF(I300&lt;TODAY(),"VENCIDO",IF(I300=TODAY(),"VENCE HOJE","A VENCER"))))</f>
        <v/>
      </c>
      <c r="O300" s="57" t="str">
        <f aca="true">IF(OR(I300="",K300&lt;&gt;""),"",I300-TODAY())</f>
        <v/>
      </c>
      <c r="P300" s="51"/>
      <c r="Q300" s="51"/>
      <c r="R300" s="51"/>
      <c r="S300" s="50"/>
      <c r="T300" s="50"/>
      <c r="U300" s="52"/>
      <c r="V300" s="58" t="n">
        <f aca="false">IF(OR(B300="",I300="",F300="",F300=Cadastros!$E$4,F300=Cadastros!$E$9),999999,IF(COUNTIFS($B$5:$B$504,B300,$I$5:$I$504,"&gt;"&amp;I300)=0,YEAR(I300)*12+MONTH(I300),999999))</f>
        <v>999999</v>
      </c>
      <c r="W300" s="58" t="n">
        <f aca="false">IF(U300="",999999,YEAR(U300)*12+MONTH(U300))</f>
        <v>999999</v>
      </c>
      <c r="X300" s="58" t="n">
        <f aca="false">IF(F300=Cadastros!$E$6,3,IF(F300=Cadastros!$E$7,6,IF(F300=Cadastros!$E$8,12,1)))</f>
        <v>1</v>
      </c>
    </row>
    <row r="301" customFormat="false" ht="15" hidden="false" customHeight="false" outlineLevel="0" collapsed="false">
      <c r="A301" s="49" t="str">
        <f aca="false">IF(B301="","",ROW()-4)</f>
        <v/>
      </c>
      <c r="B301" s="50"/>
      <c r="C301" s="50"/>
      <c r="D301" s="50"/>
      <c r="E301" s="51"/>
      <c r="F301" s="51"/>
      <c r="G301" s="51"/>
      <c r="H301" s="52"/>
      <c r="I301" s="53"/>
      <c r="J301" s="54"/>
      <c r="K301" s="53"/>
      <c r="L301" s="54"/>
      <c r="M301" s="55" t="str">
        <f aca="false">IF(L301="","",L301-J301)</f>
        <v/>
      </c>
      <c r="N301" s="56" t="str">
        <f aca="true">IF(I301="","",IF(K301&lt;&gt;"","PAGO",IF(I301&lt;TODAY(),"VENCIDO",IF(I301=TODAY(),"VENCE HOJE","A VENCER"))))</f>
        <v/>
      </c>
      <c r="O301" s="57" t="str">
        <f aca="true">IF(OR(I301="",K301&lt;&gt;""),"",I301-TODAY())</f>
        <v/>
      </c>
      <c r="P301" s="51"/>
      <c r="Q301" s="51"/>
      <c r="R301" s="51"/>
      <c r="S301" s="50"/>
      <c r="T301" s="50"/>
      <c r="U301" s="52"/>
      <c r="V301" s="58" t="n">
        <f aca="false">IF(OR(B301="",I301="",F301="",F301=Cadastros!$E$4,F301=Cadastros!$E$9),999999,IF(COUNTIFS($B$5:$B$504,B301,$I$5:$I$504,"&gt;"&amp;I301)=0,YEAR(I301)*12+MONTH(I301),999999))</f>
        <v>999999</v>
      </c>
      <c r="W301" s="58" t="n">
        <f aca="false">IF(U301="",999999,YEAR(U301)*12+MONTH(U301))</f>
        <v>999999</v>
      </c>
      <c r="X301" s="58" t="n">
        <f aca="false">IF(F301=Cadastros!$E$6,3,IF(F301=Cadastros!$E$7,6,IF(F301=Cadastros!$E$8,12,1)))</f>
        <v>1</v>
      </c>
    </row>
    <row r="302" customFormat="false" ht="15" hidden="false" customHeight="false" outlineLevel="0" collapsed="false">
      <c r="A302" s="49" t="str">
        <f aca="false">IF(B302="","",ROW()-4)</f>
        <v/>
      </c>
      <c r="B302" s="50"/>
      <c r="C302" s="50"/>
      <c r="D302" s="50"/>
      <c r="E302" s="51"/>
      <c r="F302" s="51"/>
      <c r="G302" s="51"/>
      <c r="H302" s="52"/>
      <c r="I302" s="53"/>
      <c r="J302" s="54"/>
      <c r="K302" s="53"/>
      <c r="L302" s="54"/>
      <c r="M302" s="55" t="str">
        <f aca="false">IF(L302="","",L302-J302)</f>
        <v/>
      </c>
      <c r="N302" s="56" t="str">
        <f aca="true">IF(I302="","",IF(K302&lt;&gt;"","PAGO",IF(I302&lt;TODAY(),"VENCIDO",IF(I302=TODAY(),"VENCE HOJE","A VENCER"))))</f>
        <v/>
      </c>
      <c r="O302" s="57" t="str">
        <f aca="true">IF(OR(I302="",K302&lt;&gt;""),"",I302-TODAY())</f>
        <v/>
      </c>
      <c r="P302" s="51"/>
      <c r="Q302" s="51"/>
      <c r="R302" s="51"/>
      <c r="S302" s="50"/>
      <c r="T302" s="50"/>
      <c r="U302" s="52"/>
      <c r="V302" s="58" t="n">
        <f aca="false">IF(OR(B302="",I302="",F302="",F302=Cadastros!$E$4,F302=Cadastros!$E$9),999999,IF(COUNTIFS($B$5:$B$504,B302,$I$5:$I$504,"&gt;"&amp;I302)=0,YEAR(I302)*12+MONTH(I302),999999))</f>
        <v>999999</v>
      </c>
      <c r="W302" s="58" t="n">
        <f aca="false">IF(U302="",999999,YEAR(U302)*12+MONTH(U302))</f>
        <v>999999</v>
      </c>
      <c r="X302" s="58" t="n">
        <f aca="false">IF(F302=Cadastros!$E$6,3,IF(F302=Cadastros!$E$7,6,IF(F302=Cadastros!$E$8,12,1)))</f>
        <v>1</v>
      </c>
    </row>
    <row r="303" customFormat="false" ht="15" hidden="false" customHeight="false" outlineLevel="0" collapsed="false">
      <c r="A303" s="49" t="str">
        <f aca="false">IF(B303="","",ROW()-4)</f>
        <v/>
      </c>
      <c r="B303" s="50"/>
      <c r="C303" s="50"/>
      <c r="D303" s="50"/>
      <c r="E303" s="51"/>
      <c r="F303" s="51"/>
      <c r="G303" s="51"/>
      <c r="H303" s="52"/>
      <c r="I303" s="53"/>
      <c r="J303" s="54"/>
      <c r="K303" s="53"/>
      <c r="L303" s="54"/>
      <c r="M303" s="55" t="str">
        <f aca="false">IF(L303="","",L303-J303)</f>
        <v/>
      </c>
      <c r="N303" s="56" t="str">
        <f aca="true">IF(I303="","",IF(K303&lt;&gt;"","PAGO",IF(I303&lt;TODAY(),"VENCIDO",IF(I303=TODAY(),"VENCE HOJE","A VENCER"))))</f>
        <v/>
      </c>
      <c r="O303" s="57" t="str">
        <f aca="true">IF(OR(I303="",K303&lt;&gt;""),"",I303-TODAY())</f>
        <v/>
      </c>
      <c r="P303" s="51"/>
      <c r="Q303" s="51"/>
      <c r="R303" s="51"/>
      <c r="S303" s="50"/>
      <c r="T303" s="50"/>
      <c r="U303" s="52"/>
      <c r="V303" s="58" t="n">
        <f aca="false">IF(OR(B303="",I303="",F303="",F303=Cadastros!$E$4,F303=Cadastros!$E$9),999999,IF(COUNTIFS($B$5:$B$504,B303,$I$5:$I$504,"&gt;"&amp;I303)=0,YEAR(I303)*12+MONTH(I303),999999))</f>
        <v>999999</v>
      </c>
      <c r="W303" s="58" t="n">
        <f aca="false">IF(U303="",999999,YEAR(U303)*12+MONTH(U303))</f>
        <v>999999</v>
      </c>
      <c r="X303" s="58" t="n">
        <f aca="false">IF(F303=Cadastros!$E$6,3,IF(F303=Cadastros!$E$7,6,IF(F303=Cadastros!$E$8,12,1)))</f>
        <v>1</v>
      </c>
    </row>
    <row r="304" customFormat="false" ht="15" hidden="false" customHeight="false" outlineLevel="0" collapsed="false">
      <c r="A304" s="49" t="str">
        <f aca="false">IF(B304="","",ROW()-4)</f>
        <v/>
      </c>
      <c r="B304" s="50"/>
      <c r="C304" s="50"/>
      <c r="D304" s="50"/>
      <c r="E304" s="51"/>
      <c r="F304" s="51"/>
      <c r="G304" s="51"/>
      <c r="H304" s="52"/>
      <c r="I304" s="53"/>
      <c r="J304" s="54"/>
      <c r="K304" s="53"/>
      <c r="L304" s="54"/>
      <c r="M304" s="55" t="str">
        <f aca="false">IF(L304="","",L304-J304)</f>
        <v/>
      </c>
      <c r="N304" s="56" t="str">
        <f aca="true">IF(I304="","",IF(K304&lt;&gt;"","PAGO",IF(I304&lt;TODAY(),"VENCIDO",IF(I304=TODAY(),"VENCE HOJE","A VENCER"))))</f>
        <v/>
      </c>
      <c r="O304" s="57" t="str">
        <f aca="true">IF(OR(I304="",K304&lt;&gt;""),"",I304-TODAY())</f>
        <v/>
      </c>
      <c r="P304" s="51"/>
      <c r="Q304" s="51"/>
      <c r="R304" s="51"/>
      <c r="S304" s="50"/>
      <c r="T304" s="50"/>
      <c r="U304" s="52"/>
      <c r="V304" s="58" t="n">
        <f aca="false">IF(OR(B304="",I304="",F304="",F304=Cadastros!$E$4,F304=Cadastros!$E$9),999999,IF(COUNTIFS($B$5:$B$504,B304,$I$5:$I$504,"&gt;"&amp;I304)=0,YEAR(I304)*12+MONTH(I304),999999))</f>
        <v>999999</v>
      </c>
      <c r="W304" s="58" t="n">
        <f aca="false">IF(U304="",999999,YEAR(U304)*12+MONTH(U304))</f>
        <v>999999</v>
      </c>
      <c r="X304" s="58" t="n">
        <f aca="false">IF(F304=Cadastros!$E$6,3,IF(F304=Cadastros!$E$7,6,IF(F304=Cadastros!$E$8,12,1)))</f>
        <v>1</v>
      </c>
    </row>
    <row r="305" customFormat="false" ht="15" hidden="false" customHeight="false" outlineLevel="0" collapsed="false">
      <c r="A305" s="49" t="str">
        <f aca="false">IF(B305="","",ROW()-4)</f>
        <v/>
      </c>
      <c r="B305" s="50"/>
      <c r="C305" s="50"/>
      <c r="D305" s="50"/>
      <c r="E305" s="51"/>
      <c r="F305" s="51"/>
      <c r="G305" s="51"/>
      <c r="H305" s="52"/>
      <c r="I305" s="53"/>
      <c r="J305" s="54"/>
      <c r="K305" s="53"/>
      <c r="L305" s="54"/>
      <c r="M305" s="55" t="str">
        <f aca="false">IF(L305="","",L305-J305)</f>
        <v/>
      </c>
      <c r="N305" s="56" t="str">
        <f aca="true">IF(I305="","",IF(K305&lt;&gt;"","PAGO",IF(I305&lt;TODAY(),"VENCIDO",IF(I305=TODAY(),"VENCE HOJE","A VENCER"))))</f>
        <v/>
      </c>
      <c r="O305" s="57" t="str">
        <f aca="true">IF(OR(I305="",K305&lt;&gt;""),"",I305-TODAY())</f>
        <v/>
      </c>
      <c r="P305" s="51"/>
      <c r="Q305" s="51"/>
      <c r="R305" s="51"/>
      <c r="S305" s="50"/>
      <c r="T305" s="50"/>
      <c r="U305" s="52"/>
      <c r="V305" s="58" t="n">
        <f aca="false">IF(OR(B305="",I305="",F305="",F305=Cadastros!$E$4,F305=Cadastros!$E$9),999999,IF(COUNTIFS($B$5:$B$504,B305,$I$5:$I$504,"&gt;"&amp;I305)=0,YEAR(I305)*12+MONTH(I305),999999))</f>
        <v>999999</v>
      </c>
      <c r="W305" s="58" t="n">
        <f aca="false">IF(U305="",999999,YEAR(U305)*12+MONTH(U305))</f>
        <v>999999</v>
      </c>
      <c r="X305" s="58" t="n">
        <f aca="false">IF(F305=Cadastros!$E$6,3,IF(F305=Cadastros!$E$7,6,IF(F305=Cadastros!$E$8,12,1)))</f>
        <v>1</v>
      </c>
    </row>
    <row r="306" customFormat="false" ht="15" hidden="false" customHeight="false" outlineLevel="0" collapsed="false">
      <c r="A306" s="49" t="str">
        <f aca="false">IF(B306="","",ROW()-4)</f>
        <v/>
      </c>
      <c r="B306" s="50"/>
      <c r="C306" s="50"/>
      <c r="D306" s="50"/>
      <c r="E306" s="51"/>
      <c r="F306" s="51"/>
      <c r="G306" s="51"/>
      <c r="H306" s="52"/>
      <c r="I306" s="53"/>
      <c r="J306" s="54"/>
      <c r="K306" s="53"/>
      <c r="L306" s="54"/>
      <c r="M306" s="55" t="str">
        <f aca="false">IF(L306="","",L306-J306)</f>
        <v/>
      </c>
      <c r="N306" s="56" t="str">
        <f aca="true">IF(I306="","",IF(K306&lt;&gt;"","PAGO",IF(I306&lt;TODAY(),"VENCIDO",IF(I306=TODAY(),"VENCE HOJE","A VENCER"))))</f>
        <v/>
      </c>
      <c r="O306" s="57" t="str">
        <f aca="true">IF(OR(I306="",K306&lt;&gt;""),"",I306-TODAY())</f>
        <v/>
      </c>
      <c r="P306" s="51"/>
      <c r="Q306" s="51"/>
      <c r="R306" s="51"/>
      <c r="S306" s="50"/>
      <c r="T306" s="50"/>
      <c r="U306" s="52"/>
      <c r="V306" s="58" t="n">
        <f aca="false">IF(OR(B306="",I306="",F306="",F306=Cadastros!$E$4,F306=Cadastros!$E$9),999999,IF(COUNTIFS($B$5:$B$504,B306,$I$5:$I$504,"&gt;"&amp;I306)=0,YEAR(I306)*12+MONTH(I306),999999))</f>
        <v>999999</v>
      </c>
      <c r="W306" s="58" t="n">
        <f aca="false">IF(U306="",999999,YEAR(U306)*12+MONTH(U306))</f>
        <v>999999</v>
      </c>
      <c r="X306" s="58" t="n">
        <f aca="false">IF(F306=Cadastros!$E$6,3,IF(F306=Cadastros!$E$7,6,IF(F306=Cadastros!$E$8,12,1)))</f>
        <v>1</v>
      </c>
    </row>
    <row r="307" customFormat="false" ht="15" hidden="false" customHeight="false" outlineLevel="0" collapsed="false">
      <c r="A307" s="49" t="str">
        <f aca="false">IF(B307="","",ROW()-4)</f>
        <v/>
      </c>
      <c r="B307" s="50"/>
      <c r="C307" s="50"/>
      <c r="D307" s="50"/>
      <c r="E307" s="51"/>
      <c r="F307" s="51"/>
      <c r="G307" s="51"/>
      <c r="H307" s="52"/>
      <c r="I307" s="53"/>
      <c r="J307" s="54"/>
      <c r="K307" s="53"/>
      <c r="L307" s="54"/>
      <c r="M307" s="55" t="str">
        <f aca="false">IF(L307="","",L307-J307)</f>
        <v/>
      </c>
      <c r="N307" s="56" t="str">
        <f aca="true">IF(I307="","",IF(K307&lt;&gt;"","PAGO",IF(I307&lt;TODAY(),"VENCIDO",IF(I307=TODAY(),"VENCE HOJE","A VENCER"))))</f>
        <v/>
      </c>
      <c r="O307" s="57" t="str">
        <f aca="true">IF(OR(I307="",K307&lt;&gt;""),"",I307-TODAY())</f>
        <v/>
      </c>
      <c r="P307" s="51"/>
      <c r="Q307" s="51"/>
      <c r="R307" s="51"/>
      <c r="S307" s="50"/>
      <c r="T307" s="50"/>
      <c r="U307" s="52"/>
      <c r="V307" s="58" t="n">
        <f aca="false">IF(OR(B307="",I307="",F307="",F307=Cadastros!$E$4,F307=Cadastros!$E$9),999999,IF(COUNTIFS($B$5:$B$504,B307,$I$5:$I$504,"&gt;"&amp;I307)=0,YEAR(I307)*12+MONTH(I307),999999))</f>
        <v>999999</v>
      </c>
      <c r="W307" s="58" t="n">
        <f aca="false">IF(U307="",999999,YEAR(U307)*12+MONTH(U307))</f>
        <v>999999</v>
      </c>
      <c r="X307" s="58" t="n">
        <f aca="false">IF(F307=Cadastros!$E$6,3,IF(F307=Cadastros!$E$7,6,IF(F307=Cadastros!$E$8,12,1)))</f>
        <v>1</v>
      </c>
    </row>
    <row r="308" customFormat="false" ht="15" hidden="false" customHeight="false" outlineLevel="0" collapsed="false">
      <c r="A308" s="49" t="str">
        <f aca="false">IF(B308="","",ROW()-4)</f>
        <v/>
      </c>
      <c r="B308" s="50"/>
      <c r="C308" s="50"/>
      <c r="D308" s="50"/>
      <c r="E308" s="51"/>
      <c r="F308" s="51"/>
      <c r="G308" s="51"/>
      <c r="H308" s="52"/>
      <c r="I308" s="53"/>
      <c r="J308" s="54"/>
      <c r="K308" s="53"/>
      <c r="L308" s="54"/>
      <c r="M308" s="55" t="str">
        <f aca="false">IF(L308="","",L308-J308)</f>
        <v/>
      </c>
      <c r="N308" s="56" t="str">
        <f aca="true">IF(I308="","",IF(K308&lt;&gt;"","PAGO",IF(I308&lt;TODAY(),"VENCIDO",IF(I308=TODAY(),"VENCE HOJE","A VENCER"))))</f>
        <v/>
      </c>
      <c r="O308" s="57" t="str">
        <f aca="true">IF(OR(I308="",K308&lt;&gt;""),"",I308-TODAY())</f>
        <v/>
      </c>
      <c r="P308" s="51"/>
      <c r="Q308" s="51"/>
      <c r="R308" s="51"/>
      <c r="S308" s="50"/>
      <c r="T308" s="50"/>
      <c r="U308" s="52"/>
      <c r="V308" s="58" t="n">
        <f aca="false">IF(OR(B308="",I308="",F308="",F308=Cadastros!$E$4,F308=Cadastros!$E$9),999999,IF(COUNTIFS($B$5:$B$504,B308,$I$5:$I$504,"&gt;"&amp;I308)=0,YEAR(I308)*12+MONTH(I308),999999))</f>
        <v>999999</v>
      </c>
      <c r="W308" s="58" t="n">
        <f aca="false">IF(U308="",999999,YEAR(U308)*12+MONTH(U308))</f>
        <v>999999</v>
      </c>
      <c r="X308" s="58" t="n">
        <f aca="false">IF(F308=Cadastros!$E$6,3,IF(F308=Cadastros!$E$7,6,IF(F308=Cadastros!$E$8,12,1)))</f>
        <v>1</v>
      </c>
    </row>
    <row r="309" customFormat="false" ht="15" hidden="false" customHeight="false" outlineLevel="0" collapsed="false">
      <c r="A309" s="49" t="str">
        <f aca="false">IF(B309="","",ROW()-4)</f>
        <v/>
      </c>
      <c r="B309" s="50"/>
      <c r="C309" s="50"/>
      <c r="D309" s="50"/>
      <c r="E309" s="51"/>
      <c r="F309" s="51"/>
      <c r="G309" s="51"/>
      <c r="H309" s="52"/>
      <c r="I309" s="53"/>
      <c r="J309" s="54"/>
      <c r="K309" s="53"/>
      <c r="L309" s="54"/>
      <c r="M309" s="55" t="str">
        <f aca="false">IF(L309="","",L309-J309)</f>
        <v/>
      </c>
      <c r="N309" s="56" t="str">
        <f aca="true">IF(I309="","",IF(K309&lt;&gt;"","PAGO",IF(I309&lt;TODAY(),"VENCIDO",IF(I309=TODAY(),"VENCE HOJE","A VENCER"))))</f>
        <v/>
      </c>
      <c r="O309" s="57" t="str">
        <f aca="true">IF(OR(I309="",K309&lt;&gt;""),"",I309-TODAY())</f>
        <v/>
      </c>
      <c r="P309" s="51"/>
      <c r="Q309" s="51"/>
      <c r="R309" s="51"/>
      <c r="S309" s="50"/>
      <c r="T309" s="50"/>
      <c r="U309" s="52"/>
      <c r="V309" s="58" t="n">
        <f aca="false">IF(OR(B309="",I309="",F309="",F309=Cadastros!$E$4,F309=Cadastros!$E$9),999999,IF(COUNTIFS($B$5:$B$504,B309,$I$5:$I$504,"&gt;"&amp;I309)=0,YEAR(I309)*12+MONTH(I309),999999))</f>
        <v>999999</v>
      </c>
      <c r="W309" s="58" t="n">
        <f aca="false">IF(U309="",999999,YEAR(U309)*12+MONTH(U309))</f>
        <v>999999</v>
      </c>
      <c r="X309" s="58" t="n">
        <f aca="false">IF(F309=Cadastros!$E$6,3,IF(F309=Cadastros!$E$7,6,IF(F309=Cadastros!$E$8,12,1)))</f>
        <v>1</v>
      </c>
    </row>
    <row r="310" customFormat="false" ht="15" hidden="false" customHeight="false" outlineLevel="0" collapsed="false">
      <c r="A310" s="49" t="str">
        <f aca="false">IF(B310="","",ROW()-4)</f>
        <v/>
      </c>
      <c r="B310" s="50"/>
      <c r="C310" s="50"/>
      <c r="D310" s="50"/>
      <c r="E310" s="51"/>
      <c r="F310" s="51"/>
      <c r="G310" s="51"/>
      <c r="H310" s="52"/>
      <c r="I310" s="53"/>
      <c r="J310" s="54"/>
      <c r="K310" s="53"/>
      <c r="L310" s="54"/>
      <c r="M310" s="55" t="str">
        <f aca="false">IF(L310="","",L310-J310)</f>
        <v/>
      </c>
      <c r="N310" s="56" t="str">
        <f aca="true">IF(I310="","",IF(K310&lt;&gt;"","PAGO",IF(I310&lt;TODAY(),"VENCIDO",IF(I310=TODAY(),"VENCE HOJE","A VENCER"))))</f>
        <v/>
      </c>
      <c r="O310" s="57" t="str">
        <f aca="true">IF(OR(I310="",K310&lt;&gt;""),"",I310-TODAY())</f>
        <v/>
      </c>
      <c r="P310" s="51"/>
      <c r="Q310" s="51"/>
      <c r="R310" s="51"/>
      <c r="S310" s="50"/>
      <c r="T310" s="50"/>
      <c r="U310" s="52"/>
      <c r="V310" s="58" t="n">
        <f aca="false">IF(OR(B310="",I310="",F310="",F310=Cadastros!$E$4,F310=Cadastros!$E$9),999999,IF(COUNTIFS($B$5:$B$504,B310,$I$5:$I$504,"&gt;"&amp;I310)=0,YEAR(I310)*12+MONTH(I310),999999))</f>
        <v>999999</v>
      </c>
      <c r="W310" s="58" t="n">
        <f aca="false">IF(U310="",999999,YEAR(U310)*12+MONTH(U310))</f>
        <v>999999</v>
      </c>
      <c r="X310" s="58" t="n">
        <f aca="false">IF(F310=Cadastros!$E$6,3,IF(F310=Cadastros!$E$7,6,IF(F310=Cadastros!$E$8,12,1)))</f>
        <v>1</v>
      </c>
    </row>
    <row r="311" customFormat="false" ht="15" hidden="false" customHeight="false" outlineLevel="0" collapsed="false">
      <c r="A311" s="49" t="str">
        <f aca="false">IF(B311="","",ROW()-4)</f>
        <v/>
      </c>
      <c r="B311" s="50"/>
      <c r="C311" s="50"/>
      <c r="D311" s="50"/>
      <c r="E311" s="51"/>
      <c r="F311" s="51"/>
      <c r="G311" s="51"/>
      <c r="H311" s="52"/>
      <c r="I311" s="53"/>
      <c r="J311" s="54"/>
      <c r="K311" s="53"/>
      <c r="L311" s="54"/>
      <c r="M311" s="55" t="str">
        <f aca="false">IF(L311="","",L311-J311)</f>
        <v/>
      </c>
      <c r="N311" s="56" t="str">
        <f aca="true">IF(I311="","",IF(K311&lt;&gt;"","PAGO",IF(I311&lt;TODAY(),"VENCIDO",IF(I311=TODAY(),"VENCE HOJE","A VENCER"))))</f>
        <v/>
      </c>
      <c r="O311" s="57" t="str">
        <f aca="true">IF(OR(I311="",K311&lt;&gt;""),"",I311-TODAY())</f>
        <v/>
      </c>
      <c r="P311" s="51"/>
      <c r="Q311" s="51"/>
      <c r="R311" s="51"/>
      <c r="S311" s="50"/>
      <c r="T311" s="50"/>
      <c r="U311" s="52"/>
      <c r="V311" s="58" t="n">
        <f aca="false">IF(OR(B311="",I311="",F311="",F311=Cadastros!$E$4,F311=Cadastros!$E$9),999999,IF(COUNTIFS($B$5:$B$504,B311,$I$5:$I$504,"&gt;"&amp;I311)=0,YEAR(I311)*12+MONTH(I311),999999))</f>
        <v>999999</v>
      </c>
      <c r="W311" s="58" t="n">
        <f aca="false">IF(U311="",999999,YEAR(U311)*12+MONTH(U311))</f>
        <v>999999</v>
      </c>
      <c r="X311" s="58" t="n">
        <f aca="false">IF(F311=Cadastros!$E$6,3,IF(F311=Cadastros!$E$7,6,IF(F311=Cadastros!$E$8,12,1)))</f>
        <v>1</v>
      </c>
    </row>
    <row r="312" customFormat="false" ht="15" hidden="false" customHeight="false" outlineLevel="0" collapsed="false">
      <c r="A312" s="49" t="str">
        <f aca="false">IF(B312="","",ROW()-4)</f>
        <v/>
      </c>
      <c r="B312" s="50"/>
      <c r="C312" s="50"/>
      <c r="D312" s="50"/>
      <c r="E312" s="51"/>
      <c r="F312" s="51"/>
      <c r="G312" s="51"/>
      <c r="H312" s="52"/>
      <c r="I312" s="53"/>
      <c r="J312" s="54"/>
      <c r="K312" s="53"/>
      <c r="L312" s="54"/>
      <c r="M312" s="55" t="str">
        <f aca="false">IF(L312="","",L312-J312)</f>
        <v/>
      </c>
      <c r="N312" s="56" t="str">
        <f aca="true">IF(I312="","",IF(K312&lt;&gt;"","PAGO",IF(I312&lt;TODAY(),"VENCIDO",IF(I312=TODAY(),"VENCE HOJE","A VENCER"))))</f>
        <v/>
      </c>
      <c r="O312" s="57" t="str">
        <f aca="true">IF(OR(I312="",K312&lt;&gt;""),"",I312-TODAY())</f>
        <v/>
      </c>
      <c r="P312" s="51"/>
      <c r="Q312" s="51"/>
      <c r="R312" s="51"/>
      <c r="S312" s="50"/>
      <c r="T312" s="50"/>
      <c r="U312" s="52"/>
      <c r="V312" s="58" t="n">
        <f aca="false">IF(OR(B312="",I312="",F312="",F312=Cadastros!$E$4,F312=Cadastros!$E$9),999999,IF(COUNTIFS($B$5:$B$504,B312,$I$5:$I$504,"&gt;"&amp;I312)=0,YEAR(I312)*12+MONTH(I312),999999))</f>
        <v>999999</v>
      </c>
      <c r="W312" s="58" t="n">
        <f aca="false">IF(U312="",999999,YEAR(U312)*12+MONTH(U312))</f>
        <v>999999</v>
      </c>
      <c r="X312" s="58" t="n">
        <f aca="false">IF(F312=Cadastros!$E$6,3,IF(F312=Cadastros!$E$7,6,IF(F312=Cadastros!$E$8,12,1)))</f>
        <v>1</v>
      </c>
    </row>
    <row r="313" customFormat="false" ht="15" hidden="false" customHeight="false" outlineLevel="0" collapsed="false">
      <c r="A313" s="49" t="str">
        <f aca="false">IF(B313="","",ROW()-4)</f>
        <v/>
      </c>
      <c r="B313" s="50"/>
      <c r="C313" s="50"/>
      <c r="D313" s="50"/>
      <c r="E313" s="51"/>
      <c r="F313" s="51"/>
      <c r="G313" s="51"/>
      <c r="H313" s="52"/>
      <c r="I313" s="53"/>
      <c r="J313" s="54"/>
      <c r="K313" s="53"/>
      <c r="L313" s="54"/>
      <c r="M313" s="55" t="str">
        <f aca="false">IF(L313="","",L313-J313)</f>
        <v/>
      </c>
      <c r="N313" s="56" t="str">
        <f aca="true">IF(I313="","",IF(K313&lt;&gt;"","PAGO",IF(I313&lt;TODAY(),"VENCIDO",IF(I313=TODAY(),"VENCE HOJE","A VENCER"))))</f>
        <v/>
      </c>
      <c r="O313" s="57" t="str">
        <f aca="true">IF(OR(I313="",K313&lt;&gt;""),"",I313-TODAY())</f>
        <v/>
      </c>
      <c r="P313" s="51"/>
      <c r="Q313" s="51"/>
      <c r="R313" s="51"/>
      <c r="S313" s="50"/>
      <c r="T313" s="50"/>
      <c r="U313" s="52"/>
      <c r="V313" s="58" t="n">
        <f aca="false">IF(OR(B313="",I313="",F313="",F313=Cadastros!$E$4,F313=Cadastros!$E$9),999999,IF(COUNTIFS($B$5:$B$504,B313,$I$5:$I$504,"&gt;"&amp;I313)=0,YEAR(I313)*12+MONTH(I313),999999))</f>
        <v>999999</v>
      </c>
      <c r="W313" s="58" t="n">
        <f aca="false">IF(U313="",999999,YEAR(U313)*12+MONTH(U313))</f>
        <v>999999</v>
      </c>
      <c r="X313" s="58" t="n">
        <f aca="false">IF(F313=Cadastros!$E$6,3,IF(F313=Cadastros!$E$7,6,IF(F313=Cadastros!$E$8,12,1)))</f>
        <v>1</v>
      </c>
    </row>
    <row r="314" customFormat="false" ht="15" hidden="false" customHeight="false" outlineLevel="0" collapsed="false">
      <c r="A314" s="49" t="str">
        <f aca="false">IF(B314="","",ROW()-4)</f>
        <v/>
      </c>
      <c r="B314" s="50"/>
      <c r="C314" s="50"/>
      <c r="D314" s="50"/>
      <c r="E314" s="51"/>
      <c r="F314" s="51"/>
      <c r="G314" s="51"/>
      <c r="H314" s="52"/>
      <c r="I314" s="53"/>
      <c r="J314" s="54"/>
      <c r="K314" s="53"/>
      <c r="L314" s="54"/>
      <c r="M314" s="55" t="str">
        <f aca="false">IF(L314="","",L314-J314)</f>
        <v/>
      </c>
      <c r="N314" s="56" t="str">
        <f aca="true">IF(I314="","",IF(K314&lt;&gt;"","PAGO",IF(I314&lt;TODAY(),"VENCIDO",IF(I314=TODAY(),"VENCE HOJE","A VENCER"))))</f>
        <v/>
      </c>
      <c r="O314" s="57" t="str">
        <f aca="true">IF(OR(I314="",K314&lt;&gt;""),"",I314-TODAY())</f>
        <v/>
      </c>
      <c r="P314" s="51"/>
      <c r="Q314" s="51"/>
      <c r="R314" s="51"/>
      <c r="S314" s="50"/>
      <c r="T314" s="50"/>
      <c r="U314" s="52"/>
      <c r="V314" s="58" t="n">
        <f aca="false">IF(OR(B314="",I314="",F314="",F314=Cadastros!$E$4,F314=Cadastros!$E$9),999999,IF(COUNTIFS($B$5:$B$504,B314,$I$5:$I$504,"&gt;"&amp;I314)=0,YEAR(I314)*12+MONTH(I314),999999))</f>
        <v>999999</v>
      </c>
      <c r="W314" s="58" t="n">
        <f aca="false">IF(U314="",999999,YEAR(U314)*12+MONTH(U314))</f>
        <v>999999</v>
      </c>
      <c r="X314" s="58" t="n">
        <f aca="false">IF(F314=Cadastros!$E$6,3,IF(F314=Cadastros!$E$7,6,IF(F314=Cadastros!$E$8,12,1)))</f>
        <v>1</v>
      </c>
    </row>
    <row r="315" customFormat="false" ht="15" hidden="false" customHeight="false" outlineLevel="0" collapsed="false">
      <c r="A315" s="49" t="str">
        <f aca="false">IF(B315="","",ROW()-4)</f>
        <v/>
      </c>
      <c r="B315" s="50"/>
      <c r="C315" s="50"/>
      <c r="D315" s="50"/>
      <c r="E315" s="51"/>
      <c r="F315" s="51"/>
      <c r="G315" s="51"/>
      <c r="H315" s="52"/>
      <c r="I315" s="53"/>
      <c r="J315" s="54"/>
      <c r="K315" s="53"/>
      <c r="L315" s="54"/>
      <c r="M315" s="55" t="str">
        <f aca="false">IF(L315="","",L315-J315)</f>
        <v/>
      </c>
      <c r="N315" s="56" t="str">
        <f aca="true">IF(I315="","",IF(K315&lt;&gt;"","PAGO",IF(I315&lt;TODAY(),"VENCIDO",IF(I315=TODAY(),"VENCE HOJE","A VENCER"))))</f>
        <v/>
      </c>
      <c r="O315" s="57" t="str">
        <f aca="true">IF(OR(I315="",K315&lt;&gt;""),"",I315-TODAY())</f>
        <v/>
      </c>
      <c r="P315" s="51"/>
      <c r="Q315" s="51"/>
      <c r="R315" s="51"/>
      <c r="S315" s="50"/>
      <c r="T315" s="50"/>
      <c r="U315" s="52"/>
      <c r="V315" s="58" t="n">
        <f aca="false">IF(OR(B315="",I315="",F315="",F315=Cadastros!$E$4,F315=Cadastros!$E$9),999999,IF(COUNTIFS($B$5:$B$504,B315,$I$5:$I$504,"&gt;"&amp;I315)=0,YEAR(I315)*12+MONTH(I315),999999))</f>
        <v>999999</v>
      </c>
      <c r="W315" s="58" t="n">
        <f aca="false">IF(U315="",999999,YEAR(U315)*12+MONTH(U315))</f>
        <v>999999</v>
      </c>
      <c r="X315" s="58" t="n">
        <f aca="false">IF(F315=Cadastros!$E$6,3,IF(F315=Cadastros!$E$7,6,IF(F315=Cadastros!$E$8,12,1)))</f>
        <v>1</v>
      </c>
    </row>
    <row r="316" customFormat="false" ht="15" hidden="false" customHeight="false" outlineLevel="0" collapsed="false">
      <c r="A316" s="49" t="str">
        <f aca="false">IF(B316="","",ROW()-4)</f>
        <v/>
      </c>
      <c r="B316" s="50"/>
      <c r="C316" s="50"/>
      <c r="D316" s="50"/>
      <c r="E316" s="51"/>
      <c r="F316" s="51"/>
      <c r="G316" s="51"/>
      <c r="H316" s="52"/>
      <c r="I316" s="53"/>
      <c r="J316" s="54"/>
      <c r="K316" s="53"/>
      <c r="L316" s="54"/>
      <c r="M316" s="55" t="str">
        <f aca="false">IF(L316="","",L316-J316)</f>
        <v/>
      </c>
      <c r="N316" s="56" t="str">
        <f aca="true">IF(I316="","",IF(K316&lt;&gt;"","PAGO",IF(I316&lt;TODAY(),"VENCIDO",IF(I316=TODAY(),"VENCE HOJE","A VENCER"))))</f>
        <v/>
      </c>
      <c r="O316" s="57" t="str">
        <f aca="true">IF(OR(I316="",K316&lt;&gt;""),"",I316-TODAY())</f>
        <v/>
      </c>
      <c r="P316" s="51"/>
      <c r="Q316" s="51"/>
      <c r="R316" s="51"/>
      <c r="S316" s="50"/>
      <c r="T316" s="50"/>
      <c r="U316" s="52"/>
      <c r="V316" s="58" t="n">
        <f aca="false">IF(OR(B316="",I316="",F316="",F316=Cadastros!$E$4,F316=Cadastros!$E$9),999999,IF(COUNTIFS($B$5:$B$504,B316,$I$5:$I$504,"&gt;"&amp;I316)=0,YEAR(I316)*12+MONTH(I316),999999))</f>
        <v>999999</v>
      </c>
      <c r="W316" s="58" t="n">
        <f aca="false">IF(U316="",999999,YEAR(U316)*12+MONTH(U316))</f>
        <v>999999</v>
      </c>
      <c r="X316" s="58" t="n">
        <f aca="false">IF(F316=Cadastros!$E$6,3,IF(F316=Cadastros!$E$7,6,IF(F316=Cadastros!$E$8,12,1)))</f>
        <v>1</v>
      </c>
    </row>
    <row r="317" customFormat="false" ht="15" hidden="false" customHeight="false" outlineLevel="0" collapsed="false">
      <c r="A317" s="49" t="str">
        <f aca="false">IF(B317="","",ROW()-4)</f>
        <v/>
      </c>
      <c r="B317" s="50"/>
      <c r="C317" s="50"/>
      <c r="D317" s="50"/>
      <c r="E317" s="51"/>
      <c r="F317" s="51"/>
      <c r="G317" s="51"/>
      <c r="H317" s="52"/>
      <c r="I317" s="53"/>
      <c r="J317" s="54"/>
      <c r="K317" s="53"/>
      <c r="L317" s="54"/>
      <c r="M317" s="55" t="str">
        <f aca="false">IF(L317="","",L317-J317)</f>
        <v/>
      </c>
      <c r="N317" s="56" t="str">
        <f aca="true">IF(I317="","",IF(K317&lt;&gt;"","PAGO",IF(I317&lt;TODAY(),"VENCIDO",IF(I317=TODAY(),"VENCE HOJE","A VENCER"))))</f>
        <v/>
      </c>
      <c r="O317" s="57" t="str">
        <f aca="true">IF(OR(I317="",K317&lt;&gt;""),"",I317-TODAY())</f>
        <v/>
      </c>
      <c r="P317" s="51"/>
      <c r="Q317" s="51"/>
      <c r="R317" s="51"/>
      <c r="S317" s="50"/>
      <c r="T317" s="50"/>
      <c r="U317" s="52"/>
      <c r="V317" s="58" t="n">
        <f aca="false">IF(OR(B317="",I317="",F317="",F317=Cadastros!$E$4,F317=Cadastros!$E$9),999999,IF(COUNTIFS($B$5:$B$504,B317,$I$5:$I$504,"&gt;"&amp;I317)=0,YEAR(I317)*12+MONTH(I317),999999))</f>
        <v>999999</v>
      </c>
      <c r="W317" s="58" t="n">
        <f aca="false">IF(U317="",999999,YEAR(U317)*12+MONTH(U317))</f>
        <v>999999</v>
      </c>
      <c r="X317" s="58" t="n">
        <f aca="false">IF(F317=Cadastros!$E$6,3,IF(F317=Cadastros!$E$7,6,IF(F317=Cadastros!$E$8,12,1)))</f>
        <v>1</v>
      </c>
    </row>
    <row r="318" customFormat="false" ht="15" hidden="false" customHeight="false" outlineLevel="0" collapsed="false">
      <c r="A318" s="49" t="str">
        <f aca="false">IF(B318="","",ROW()-4)</f>
        <v/>
      </c>
      <c r="B318" s="50"/>
      <c r="C318" s="50"/>
      <c r="D318" s="50"/>
      <c r="E318" s="51"/>
      <c r="F318" s="51"/>
      <c r="G318" s="51"/>
      <c r="H318" s="52"/>
      <c r="I318" s="53"/>
      <c r="J318" s="54"/>
      <c r="K318" s="53"/>
      <c r="L318" s="54"/>
      <c r="M318" s="55" t="str">
        <f aca="false">IF(L318="","",L318-J318)</f>
        <v/>
      </c>
      <c r="N318" s="56" t="str">
        <f aca="true">IF(I318="","",IF(K318&lt;&gt;"","PAGO",IF(I318&lt;TODAY(),"VENCIDO",IF(I318=TODAY(),"VENCE HOJE","A VENCER"))))</f>
        <v/>
      </c>
      <c r="O318" s="57" t="str">
        <f aca="true">IF(OR(I318="",K318&lt;&gt;""),"",I318-TODAY())</f>
        <v/>
      </c>
      <c r="P318" s="51"/>
      <c r="Q318" s="51"/>
      <c r="R318" s="51"/>
      <c r="S318" s="50"/>
      <c r="T318" s="50"/>
      <c r="U318" s="52"/>
      <c r="V318" s="58" t="n">
        <f aca="false">IF(OR(B318="",I318="",F318="",F318=Cadastros!$E$4,F318=Cadastros!$E$9),999999,IF(COUNTIFS($B$5:$B$504,B318,$I$5:$I$504,"&gt;"&amp;I318)=0,YEAR(I318)*12+MONTH(I318),999999))</f>
        <v>999999</v>
      </c>
      <c r="W318" s="58" t="n">
        <f aca="false">IF(U318="",999999,YEAR(U318)*12+MONTH(U318))</f>
        <v>999999</v>
      </c>
      <c r="X318" s="58" t="n">
        <f aca="false">IF(F318=Cadastros!$E$6,3,IF(F318=Cadastros!$E$7,6,IF(F318=Cadastros!$E$8,12,1)))</f>
        <v>1</v>
      </c>
    </row>
    <row r="319" customFormat="false" ht="15" hidden="false" customHeight="false" outlineLevel="0" collapsed="false">
      <c r="A319" s="49" t="str">
        <f aca="false">IF(B319="","",ROW()-4)</f>
        <v/>
      </c>
      <c r="B319" s="50"/>
      <c r="C319" s="50"/>
      <c r="D319" s="50"/>
      <c r="E319" s="51"/>
      <c r="F319" s="51"/>
      <c r="G319" s="51"/>
      <c r="H319" s="52"/>
      <c r="I319" s="53"/>
      <c r="J319" s="54"/>
      <c r="K319" s="53"/>
      <c r="L319" s="54"/>
      <c r="M319" s="55" t="str">
        <f aca="false">IF(L319="","",L319-J319)</f>
        <v/>
      </c>
      <c r="N319" s="56" t="str">
        <f aca="true">IF(I319="","",IF(K319&lt;&gt;"","PAGO",IF(I319&lt;TODAY(),"VENCIDO",IF(I319=TODAY(),"VENCE HOJE","A VENCER"))))</f>
        <v/>
      </c>
      <c r="O319" s="57" t="str">
        <f aca="true">IF(OR(I319="",K319&lt;&gt;""),"",I319-TODAY())</f>
        <v/>
      </c>
      <c r="P319" s="51"/>
      <c r="Q319" s="51"/>
      <c r="R319" s="51"/>
      <c r="S319" s="50"/>
      <c r="T319" s="50"/>
      <c r="U319" s="52"/>
      <c r="V319" s="58" t="n">
        <f aca="false">IF(OR(B319="",I319="",F319="",F319=Cadastros!$E$4,F319=Cadastros!$E$9),999999,IF(COUNTIFS($B$5:$B$504,B319,$I$5:$I$504,"&gt;"&amp;I319)=0,YEAR(I319)*12+MONTH(I319),999999))</f>
        <v>999999</v>
      </c>
      <c r="W319" s="58" t="n">
        <f aca="false">IF(U319="",999999,YEAR(U319)*12+MONTH(U319))</f>
        <v>999999</v>
      </c>
      <c r="X319" s="58" t="n">
        <f aca="false">IF(F319=Cadastros!$E$6,3,IF(F319=Cadastros!$E$7,6,IF(F319=Cadastros!$E$8,12,1)))</f>
        <v>1</v>
      </c>
    </row>
    <row r="320" customFormat="false" ht="15" hidden="false" customHeight="false" outlineLevel="0" collapsed="false">
      <c r="A320" s="49" t="str">
        <f aca="false">IF(B320="","",ROW()-4)</f>
        <v/>
      </c>
      <c r="B320" s="50"/>
      <c r="C320" s="50"/>
      <c r="D320" s="50"/>
      <c r="E320" s="51"/>
      <c r="F320" s="51"/>
      <c r="G320" s="51"/>
      <c r="H320" s="52"/>
      <c r="I320" s="53"/>
      <c r="J320" s="54"/>
      <c r="K320" s="53"/>
      <c r="L320" s="54"/>
      <c r="M320" s="55" t="str">
        <f aca="false">IF(L320="","",L320-J320)</f>
        <v/>
      </c>
      <c r="N320" s="56" t="str">
        <f aca="true">IF(I320="","",IF(K320&lt;&gt;"","PAGO",IF(I320&lt;TODAY(),"VENCIDO",IF(I320=TODAY(),"VENCE HOJE","A VENCER"))))</f>
        <v/>
      </c>
      <c r="O320" s="57" t="str">
        <f aca="true">IF(OR(I320="",K320&lt;&gt;""),"",I320-TODAY())</f>
        <v/>
      </c>
      <c r="P320" s="51"/>
      <c r="Q320" s="51"/>
      <c r="R320" s="51"/>
      <c r="S320" s="50"/>
      <c r="T320" s="50"/>
      <c r="U320" s="52"/>
      <c r="V320" s="58" t="n">
        <f aca="false">IF(OR(B320="",I320="",F320="",F320=Cadastros!$E$4,F320=Cadastros!$E$9),999999,IF(COUNTIFS($B$5:$B$504,B320,$I$5:$I$504,"&gt;"&amp;I320)=0,YEAR(I320)*12+MONTH(I320),999999))</f>
        <v>999999</v>
      </c>
      <c r="W320" s="58" t="n">
        <f aca="false">IF(U320="",999999,YEAR(U320)*12+MONTH(U320))</f>
        <v>999999</v>
      </c>
      <c r="X320" s="58" t="n">
        <f aca="false">IF(F320=Cadastros!$E$6,3,IF(F320=Cadastros!$E$7,6,IF(F320=Cadastros!$E$8,12,1)))</f>
        <v>1</v>
      </c>
    </row>
    <row r="321" customFormat="false" ht="15" hidden="false" customHeight="false" outlineLevel="0" collapsed="false">
      <c r="A321" s="49" t="str">
        <f aca="false">IF(B321="","",ROW()-4)</f>
        <v/>
      </c>
      <c r="B321" s="50"/>
      <c r="C321" s="50"/>
      <c r="D321" s="50"/>
      <c r="E321" s="51"/>
      <c r="F321" s="51"/>
      <c r="G321" s="51"/>
      <c r="H321" s="52"/>
      <c r="I321" s="53"/>
      <c r="J321" s="54"/>
      <c r="K321" s="53"/>
      <c r="L321" s="54"/>
      <c r="M321" s="55" t="str">
        <f aca="false">IF(L321="","",L321-J321)</f>
        <v/>
      </c>
      <c r="N321" s="56" t="str">
        <f aca="true">IF(I321="","",IF(K321&lt;&gt;"","PAGO",IF(I321&lt;TODAY(),"VENCIDO",IF(I321=TODAY(),"VENCE HOJE","A VENCER"))))</f>
        <v/>
      </c>
      <c r="O321" s="57" t="str">
        <f aca="true">IF(OR(I321="",K321&lt;&gt;""),"",I321-TODAY())</f>
        <v/>
      </c>
      <c r="P321" s="51"/>
      <c r="Q321" s="51"/>
      <c r="R321" s="51"/>
      <c r="S321" s="50"/>
      <c r="T321" s="50"/>
      <c r="U321" s="52"/>
      <c r="V321" s="58" t="n">
        <f aca="false">IF(OR(B321="",I321="",F321="",F321=Cadastros!$E$4,F321=Cadastros!$E$9),999999,IF(COUNTIFS($B$5:$B$504,B321,$I$5:$I$504,"&gt;"&amp;I321)=0,YEAR(I321)*12+MONTH(I321),999999))</f>
        <v>999999</v>
      </c>
      <c r="W321" s="58" t="n">
        <f aca="false">IF(U321="",999999,YEAR(U321)*12+MONTH(U321))</f>
        <v>999999</v>
      </c>
      <c r="X321" s="58" t="n">
        <f aca="false">IF(F321=Cadastros!$E$6,3,IF(F321=Cadastros!$E$7,6,IF(F321=Cadastros!$E$8,12,1)))</f>
        <v>1</v>
      </c>
    </row>
    <row r="322" customFormat="false" ht="15" hidden="false" customHeight="false" outlineLevel="0" collapsed="false">
      <c r="A322" s="49" t="str">
        <f aca="false">IF(B322="","",ROW()-4)</f>
        <v/>
      </c>
      <c r="B322" s="50"/>
      <c r="C322" s="50"/>
      <c r="D322" s="50"/>
      <c r="E322" s="51"/>
      <c r="F322" s="51"/>
      <c r="G322" s="51"/>
      <c r="H322" s="52"/>
      <c r="I322" s="53"/>
      <c r="J322" s="54"/>
      <c r="K322" s="53"/>
      <c r="L322" s="54"/>
      <c r="M322" s="55" t="str">
        <f aca="false">IF(L322="","",L322-J322)</f>
        <v/>
      </c>
      <c r="N322" s="56" t="str">
        <f aca="true">IF(I322="","",IF(K322&lt;&gt;"","PAGO",IF(I322&lt;TODAY(),"VENCIDO",IF(I322=TODAY(),"VENCE HOJE","A VENCER"))))</f>
        <v/>
      </c>
      <c r="O322" s="57" t="str">
        <f aca="true">IF(OR(I322="",K322&lt;&gt;""),"",I322-TODAY())</f>
        <v/>
      </c>
      <c r="P322" s="51"/>
      <c r="Q322" s="51"/>
      <c r="R322" s="51"/>
      <c r="S322" s="50"/>
      <c r="T322" s="50"/>
      <c r="U322" s="52"/>
      <c r="V322" s="58" t="n">
        <f aca="false">IF(OR(B322="",I322="",F322="",F322=Cadastros!$E$4,F322=Cadastros!$E$9),999999,IF(COUNTIFS($B$5:$B$504,B322,$I$5:$I$504,"&gt;"&amp;I322)=0,YEAR(I322)*12+MONTH(I322),999999))</f>
        <v>999999</v>
      </c>
      <c r="W322" s="58" t="n">
        <f aca="false">IF(U322="",999999,YEAR(U322)*12+MONTH(U322))</f>
        <v>999999</v>
      </c>
      <c r="X322" s="58" t="n">
        <f aca="false">IF(F322=Cadastros!$E$6,3,IF(F322=Cadastros!$E$7,6,IF(F322=Cadastros!$E$8,12,1)))</f>
        <v>1</v>
      </c>
    </row>
    <row r="323" customFormat="false" ht="15" hidden="false" customHeight="false" outlineLevel="0" collapsed="false">
      <c r="A323" s="49" t="str">
        <f aca="false">IF(B323="","",ROW()-4)</f>
        <v/>
      </c>
      <c r="B323" s="50"/>
      <c r="C323" s="50"/>
      <c r="D323" s="50"/>
      <c r="E323" s="51"/>
      <c r="F323" s="51"/>
      <c r="G323" s="51"/>
      <c r="H323" s="52"/>
      <c r="I323" s="53"/>
      <c r="J323" s="54"/>
      <c r="K323" s="53"/>
      <c r="L323" s="54"/>
      <c r="M323" s="55" t="str">
        <f aca="false">IF(L323="","",L323-J323)</f>
        <v/>
      </c>
      <c r="N323" s="56" t="str">
        <f aca="true">IF(I323="","",IF(K323&lt;&gt;"","PAGO",IF(I323&lt;TODAY(),"VENCIDO",IF(I323=TODAY(),"VENCE HOJE","A VENCER"))))</f>
        <v/>
      </c>
      <c r="O323" s="57" t="str">
        <f aca="true">IF(OR(I323="",K323&lt;&gt;""),"",I323-TODAY())</f>
        <v/>
      </c>
      <c r="P323" s="51"/>
      <c r="Q323" s="51"/>
      <c r="R323" s="51"/>
      <c r="S323" s="50"/>
      <c r="T323" s="50"/>
      <c r="U323" s="52"/>
      <c r="V323" s="58" t="n">
        <f aca="false">IF(OR(B323="",I323="",F323="",F323=Cadastros!$E$4,F323=Cadastros!$E$9),999999,IF(COUNTIFS($B$5:$B$504,B323,$I$5:$I$504,"&gt;"&amp;I323)=0,YEAR(I323)*12+MONTH(I323),999999))</f>
        <v>999999</v>
      </c>
      <c r="W323" s="58" t="n">
        <f aca="false">IF(U323="",999999,YEAR(U323)*12+MONTH(U323))</f>
        <v>999999</v>
      </c>
      <c r="X323" s="58" t="n">
        <f aca="false">IF(F323=Cadastros!$E$6,3,IF(F323=Cadastros!$E$7,6,IF(F323=Cadastros!$E$8,12,1)))</f>
        <v>1</v>
      </c>
    </row>
    <row r="324" customFormat="false" ht="15" hidden="false" customHeight="false" outlineLevel="0" collapsed="false">
      <c r="A324" s="49" t="str">
        <f aca="false">IF(B324="","",ROW()-4)</f>
        <v/>
      </c>
      <c r="B324" s="50"/>
      <c r="C324" s="50"/>
      <c r="D324" s="50"/>
      <c r="E324" s="51"/>
      <c r="F324" s="51"/>
      <c r="G324" s="51"/>
      <c r="H324" s="52"/>
      <c r="I324" s="53"/>
      <c r="J324" s="54"/>
      <c r="K324" s="53"/>
      <c r="L324" s="54"/>
      <c r="M324" s="55" t="str">
        <f aca="false">IF(L324="","",L324-J324)</f>
        <v/>
      </c>
      <c r="N324" s="56" t="str">
        <f aca="true">IF(I324="","",IF(K324&lt;&gt;"","PAGO",IF(I324&lt;TODAY(),"VENCIDO",IF(I324=TODAY(),"VENCE HOJE","A VENCER"))))</f>
        <v/>
      </c>
      <c r="O324" s="57" t="str">
        <f aca="true">IF(OR(I324="",K324&lt;&gt;""),"",I324-TODAY())</f>
        <v/>
      </c>
      <c r="P324" s="51"/>
      <c r="Q324" s="51"/>
      <c r="R324" s="51"/>
      <c r="S324" s="50"/>
      <c r="T324" s="50"/>
      <c r="U324" s="52"/>
      <c r="V324" s="58" t="n">
        <f aca="false">IF(OR(B324="",I324="",F324="",F324=Cadastros!$E$4,F324=Cadastros!$E$9),999999,IF(COUNTIFS($B$5:$B$504,B324,$I$5:$I$504,"&gt;"&amp;I324)=0,YEAR(I324)*12+MONTH(I324),999999))</f>
        <v>999999</v>
      </c>
      <c r="W324" s="58" t="n">
        <f aca="false">IF(U324="",999999,YEAR(U324)*12+MONTH(U324))</f>
        <v>999999</v>
      </c>
      <c r="X324" s="58" t="n">
        <f aca="false">IF(F324=Cadastros!$E$6,3,IF(F324=Cadastros!$E$7,6,IF(F324=Cadastros!$E$8,12,1)))</f>
        <v>1</v>
      </c>
    </row>
    <row r="325" customFormat="false" ht="15" hidden="false" customHeight="false" outlineLevel="0" collapsed="false">
      <c r="A325" s="49" t="str">
        <f aca="false">IF(B325="","",ROW()-4)</f>
        <v/>
      </c>
      <c r="B325" s="50"/>
      <c r="C325" s="50"/>
      <c r="D325" s="50"/>
      <c r="E325" s="51"/>
      <c r="F325" s="51"/>
      <c r="G325" s="51"/>
      <c r="H325" s="52"/>
      <c r="I325" s="53"/>
      <c r="J325" s="54"/>
      <c r="K325" s="53"/>
      <c r="L325" s="54"/>
      <c r="M325" s="55" t="str">
        <f aca="false">IF(L325="","",L325-J325)</f>
        <v/>
      </c>
      <c r="N325" s="56" t="str">
        <f aca="true">IF(I325="","",IF(K325&lt;&gt;"","PAGO",IF(I325&lt;TODAY(),"VENCIDO",IF(I325=TODAY(),"VENCE HOJE","A VENCER"))))</f>
        <v/>
      </c>
      <c r="O325" s="57" t="str">
        <f aca="true">IF(OR(I325="",K325&lt;&gt;""),"",I325-TODAY())</f>
        <v/>
      </c>
      <c r="P325" s="51"/>
      <c r="Q325" s="51"/>
      <c r="R325" s="51"/>
      <c r="S325" s="50"/>
      <c r="T325" s="50"/>
      <c r="U325" s="52"/>
      <c r="V325" s="58" t="n">
        <f aca="false">IF(OR(B325="",I325="",F325="",F325=Cadastros!$E$4,F325=Cadastros!$E$9),999999,IF(COUNTIFS($B$5:$B$504,B325,$I$5:$I$504,"&gt;"&amp;I325)=0,YEAR(I325)*12+MONTH(I325),999999))</f>
        <v>999999</v>
      </c>
      <c r="W325" s="58" t="n">
        <f aca="false">IF(U325="",999999,YEAR(U325)*12+MONTH(U325))</f>
        <v>999999</v>
      </c>
      <c r="X325" s="58" t="n">
        <f aca="false">IF(F325=Cadastros!$E$6,3,IF(F325=Cadastros!$E$7,6,IF(F325=Cadastros!$E$8,12,1)))</f>
        <v>1</v>
      </c>
    </row>
    <row r="326" customFormat="false" ht="15" hidden="false" customHeight="false" outlineLevel="0" collapsed="false">
      <c r="A326" s="49" t="str">
        <f aca="false">IF(B326="","",ROW()-4)</f>
        <v/>
      </c>
      <c r="B326" s="50"/>
      <c r="C326" s="50"/>
      <c r="D326" s="50"/>
      <c r="E326" s="51"/>
      <c r="F326" s="51"/>
      <c r="G326" s="51"/>
      <c r="H326" s="52"/>
      <c r="I326" s="53"/>
      <c r="J326" s="54"/>
      <c r="K326" s="53"/>
      <c r="L326" s="54"/>
      <c r="M326" s="55" t="str">
        <f aca="false">IF(L326="","",L326-J326)</f>
        <v/>
      </c>
      <c r="N326" s="56" t="str">
        <f aca="true">IF(I326="","",IF(K326&lt;&gt;"","PAGO",IF(I326&lt;TODAY(),"VENCIDO",IF(I326=TODAY(),"VENCE HOJE","A VENCER"))))</f>
        <v/>
      </c>
      <c r="O326" s="57" t="str">
        <f aca="true">IF(OR(I326="",K326&lt;&gt;""),"",I326-TODAY())</f>
        <v/>
      </c>
      <c r="P326" s="51"/>
      <c r="Q326" s="51"/>
      <c r="R326" s="51"/>
      <c r="S326" s="50"/>
      <c r="T326" s="50"/>
      <c r="U326" s="52"/>
      <c r="V326" s="58" t="n">
        <f aca="false">IF(OR(B326="",I326="",F326="",F326=Cadastros!$E$4,F326=Cadastros!$E$9),999999,IF(COUNTIFS($B$5:$B$504,B326,$I$5:$I$504,"&gt;"&amp;I326)=0,YEAR(I326)*12+MONTH(I326),999999))</f>
        <v>999999</v>
      </c>
      <c r="W326" s="58" t="n">
        <f aca="false">IF(U326="",999999,YEAR(U326)*12+MONTH(U326))</f>
        <v>999999</v>
      </c>
      <c r="X326" s="58" t="n">
        <f aca="false">IF(F326=Cadastros!$E$6,3,IF(F326=Cadastros!$E$7,6,IF(F326=Cadastros!$E$8,12,1)))</f>
        <v>1</v>
      </c>
    </row>
    <row r="327" customFormat="false" ht="15" hidden="false" customHeight="false" outlineLevel="0" collapsed="false">
      <c r="A327" s="49" t="str">
        <f aca="false">IF(B327="","",ROW()-4)</f>
        <v/>
      </c>
      <c r="B327" s="50"/>
      <c r="C327" s="50"/>
      <c r="D327" s="50"/>
      <c r="E327" s="51"/>
      <c r="F327" s="51"/>
      <c r="G327" s="51"/>
      <c r="H327" s="52"/>
      <c r="I327" s="53"/>
      <c r="J327" s="54"/>
      <c r="K327" s="53"/>
      <c r="L327" s="54"/>
      <c r="M327" s="55" t="str">
        <f aca="false">IF(L327="","",L327-J327)</f>
        <v/>
      </c>
      <c r="N327" s="56" t="str">
        <f aca="true">IF(I327="","",IF(K327&lt;&gt;"","PAGO",IF(I327&lt;TODAY(),"VENCIDO",IF(I327=TODAY(),"VENCE HOJE","A VENCER"))))</f>
        <v/>
      </c>
      <c r="O327" s="57" t="str">
        <f aca="true">IF(OR(I327="",K327&lt;&gt;""),"",I327-TODAY())</f>
        <v/>
      </c>
      <c r="P327" s="51"/>
      <c r="Q327" s="51"/>
      <c r="R327" s="51"/>
      <c r="S327" s="50"/>
      <c r="T327" s="50"/>
      <c r="U327" s="52"/>
      <c r="V327" s="58" t="n">
        <f aca="false">IF(OR(B327="",I327="",F327="",F327=Cadastros!$E$4,F327=Cadastros!$E$9),999999,IF(COUNTIFS($B$5:$B$504,B327,$I$5:$I$504,"&gt;"&amp;I327)=0,YEAR(I327)*12+MONTH(I327),999999))</f>
        <v>999999</v>
      </c>
      <c r="W327" s="58" t="n">
        <f aca="false">IF(U327="",999999,YEAR(U327)*12+MONTH(U327))</f>
        <v>999999</v>
      </c>
      <c r="X327" s="58" t="n">
        <f aca="false">IF(F327=Cadastros!$E$6,3,IF(F327=Cadastros!$E$7,6,IF(F327=Cadastros!$E$8,12,1)))</f>
        <v>1</v>
      </c>
    </row>
    <row r="328" customFormat="false" ht="15" hidden="false" customHeight="false" outlineLevel="0" collapsed="false">
      <c r="A328" s="49" t="str">
        <f aca="false">IF(B328="","",ROW()-4)</f>
        <v/>
      </c>
      <c r="B328" s="50"/>
      <c r="C328" s="50"/>
      <c r="D328" s="50"/>
      <c r="E328" s="51"/>
      <c r="F328" s="51"/>
      <c r="G328" s="51"/>
      <c r="H328" s="52"/>
      <c r="I328" s="53"/>
      <c r="J328" s="54"/>
      <c r="K328" s="53"/>
      <c r="L328" s="54"/>
      <c r="M328" s="55" t="str">
        <f aca="false">IF(L328="","",L328-J328)</f>
        <v/>
      </c>
      <c r="N328" s="56" t="str">
        <f aca="true">IF(I328="","",IF(K328&lt;&gt;"","PAGO",IF(I328&lt;TODAY(),"VENCIDO",IF(I328=TODAY(),"VENCE HOJE","A VENCER"))))</f>
        <v/>
      </c>
      <c r="O328" s="57" t="str">
        <f aca="true">IF(OR(I328="",K328&lt;&gt;""),"",I328-TODAY())</f>
        <v/>
      </c>
      <c r="P328" s="51"/>
      <c r="Q328" s="51"/>
      <c r="R328" s="51"/>
      <c r="S328" s="50"/>
      <c r="T328" s="50"/>
      <c r="U328" s="52"/>
      <c r="V328" s="58" t="n">
        <f aca="false">IF(OR(B328="",I328="",F328="",F328=Cadastros!$E$4,F328=Cadastros!$E$9),999999,IF(COUNTIFS($B$5:$B$504,B328,$I$5:$I$504,"&gt;"&amp;I328)=0,YEAR(I328)*12+MONTH(I328),999999))</f>
        <v>999999</v>
      </c>
      <c r="W328" s="58" t="n">
        <f aca="false">IF(U328="",999999,YEAR(U328)*12+MONTH(U328))</f>
        <v>999999</v>
      </c>
      <c r="X328" s="58" t="n">
        <f aca="false">IF(F328=Cadastros!$E$6,3,IF(F328=Cadastros!$E$7,6,IF(F328=Cadastros!$E$8,12,1)))</f>
        <v>1</v>
      </c>
    </row>
    <row r="329" customFormat="false" ht="15" hidden="false" customHeight="false" outlineLevel="0" collapsed="false">
      <c r="A329" s="49" t="str">
        <f aca="false">IF(B329="","",ROW()-4)</f>
        <v/>
      </c>
      <c r="B329" s="50"/>
      <c r="C329" s="50"/>
      <c r="D329" s="50"/>
      <c r="E329" s="51"/>
      <c r="F329" s="51"/>
      <c r="G329" s="51"/>
      <c r="H329" s="52"/>
      <c r="I329" s="53"/>
      <c r="J329" s="54"/>
      <c r="K329" s="53"/>
      <c r="L329" s="54"/>
      <c r="M329" s="55" t="str">
        <f aca="false">IF(L329="","",L329-J329)</f>
        <v/>
      </c>
      <c r="N329" s="56" t="str">
        <f aca="true">IF(I329="","",IF(K329&lt;&gt;"","PAGO",IF(I329&lt;TODAY(),"VENCIDO",IF(I329=TODAY(),"VENCE HOJE","A VENCER"))))</f>
        <v/>
      </c>
      <c r="O329" s="57" t="str">
        <f aca="true">IF(OR(I329="",K329&lt;&gt;""),"",I329-TODAY())</f>
        <v/>
      </c>
      <c r="P329" s="51"/>
      <c r="Q329" s="51"/>
      <c r="R329" s="51"/>
      <c r="S329" s="50"/>
      <c r="T329" s="50"/>
      <c r="U329" s="52"/>
      <c r="V329" s="58" t="n">
        <f aca="false">IF(OR(B329="",I329="",F329="",F329=Cadastros!$E$4,F329=Cadastros!$E$9),999999,IF(COUNTIFS($B$5:$B$504,B329,$I$5:$I$504,"&gt;"&amp;I329)=0,YEAR(I329)*12+MONTH(I329),999999))</f>
        <v>999999</v>
      </c>
      <c r="W329" s="58" t="n">
        <f aca="false">IF(U329="",999999,YEAR(U329)*12+MONTH(U329))</f>
        <v>999999</v>
      </c>
      <c r="X329" s="58" t="n">
        <f aca="false">IF(F329=Cadastros!$E$6,3,IF(F329=Cadastros!$E$7,6,IF(F329=Cadastros!$E$8,12,1)))</f>
        <v>1</v>
      </c>
    </row>
    <row r="330" customFormat="false" ht="15" hidden="false" customHeight="false" outlineLevel="0" collapsed="false">
      <c r="A330" s="49" t="str">
        <f aca="false">IF(B330="","",ROW()-4)</f>
        <v/>
      </c>
      <c r="B330" s="50"/>
      <c r="C330" s="50"/>
      <c r="D330" s="50"/>
      <c r="E330" s="51"/>
      <c r="F330" s="51"/>
      <c r="G330" s="51"/>
      <c r="H330" s="52"/>
      <c r="I330" s="53"/>
      <c r="J330" s="54"/>
      <c r="K330" s="53"/>
      <c r="L330" s="54"/>
      <c r="M330" s="55" t="str">
        <f aca="false">IF(L330="","",L330-J330)</f>
        <v/>
      </c>
      <c r="N330" s="56" t="str">
        <f aca="true">IF(I330="","",IF(K330&lt;&gt;"","PAGO",IF(I330&lt;TODAY(),"VENCIDO",IF(I330=TODAY(),"VENCE HOJE","A VENCER"))))</f>
        <v/>
      </c>
      <c r="O330" s="57" t="str">
        <f aca="true">IF(OR(I330="",K330&lt;&gt;""),"",I330-TODAY())</f>
        <v/>
      </c>
      <c r="P330" s="51"/>
      <c r="Q330" s="51"/>
      <c r="R330" s="51"/>
      <c r="S330" s="50"/>
      <c r="T330" s="50"/>
      <c r="U330" s="52"/>
      <c r="V330" s="58" t="n">
        <f aca="false">IF(OR(B330="",I330="",F330="",F330=Cadastros!$E$4,F330=Cadastros!$E$9),999999,IF(COUNTIFS($B$5:$B$504,B330,$I$5:$I$504,"&gt;"&amp;I330)=0,YEAR(I330)*12+MONTH(I330),999999))</f>
        <v>999999</v>
      </c>
      <c r="W330" s="58" t="n">
        <f aca="false">IF(U330="",999999,YEAR(U330)*12+MONTH(U330))</f>
        <v>999999</v>
      </c>
      <c r="X330" s="58" t="n">
        <f aca="false">IF(F330=Cadastros!$E$6,3,IF(F330=Cadastros!$E$7,6,IF(F330=Cadastros!$E$8,12,1)))</f>
        <v>1</v>
      </c>
    </row>
    <row r="331" customFormat="false" ht="15" hidden="false" customHeight="false" outlineLevel="0" collapsed="false">
      <c r="A331" s="49" t="str">
        <f aca="false">IF(B331="","",ROW()-4)</f>
        <v/>
      </c>
      <c r="B331" s="50"/>
      <c r="C331" s="50"/>
      <c r="D331" s="50"/>
      <c r="E331" s="51"/>
      <c r="F331" s="51"/>
      <c r="G331" s="51"/>
      <c r="H331" s="52"/>
      <c r="I331" s="53"/>
      <c r="J331" s="54"/>
      <c r="K331" s="53"/>
      <c r="L331" s="54"/>
      <c r="M331" s="55" t="str">
        <f aca="false">IF(L331="","",L331-J331)</f>
        <v/>
      </c>
      <c r="N331" s="56" t="str">
        <f aca="true">IF(I331="","",IF(K331&lt;&gt;"","PAGO",IF(I331&lt;TODAY(),"VENCIDO",IF(I331=TODAY(),"VENCE HOJE","A VENCER"))))</f>
        <v/>
      </c>
      <c r="O331" s="57" t="str">
        <f aca="true">IF(OR(I331="",K331&lt;&gt;""),"",I331-TODAY())</f>
        <v/>
      </c>
      <c r="P331" s="51"/>
      <c r="Q331" s="51"/>
      <c r="R331" s="51"/>
      <c r="S331" s="50"/>
      <c r="T331" s="50"/>
      <c r="U331" s="52"/>
      <c r="V331" s="58" t="n">
        <f aca="false">IF(OR(B331="",I331="",F331="",F331=Cadastros!$E$4,F331=Cadastros!$E$9),999999,IF(COUNTIFS($B$5:$B$504,B331,$I$5:$I$504,"&gt;"&amp;I331)=0,YEAR(I331)*12+MONTH(I331),999999))</f>
        <v>999999</v>
      </c>
      <c r="W331" s="58" t="n">
        <f aca="false">IF(U331="",999999,YEAR(U331)*12+MONTH(U331))</f>
        <v>999999</v>
      </c>
      <c r="X331" s="58" t="n">
        <f aca="false">IF(F331=Cadastros!$E$6,3,IF(F331=Cadastros!$E$7,6,IF(F331=Cadastros!$E$8,12,1)))</f>
        <v>1</v>
      </c>
    </row>
    <row r="332" customFormat="false" ht="15" hidden="false" customHeight="false" outlineLevel="0" collapsed="false">
      <c r="A332" s="49" t="str">
        <f aca="false">IF(B332="","",ROW()-4)</f>
        <v/>
      </c>
      <c r="B332" s="50"/>
      <c r="C332" s="50"/>
      <c r="D332" s="50"/>
      <c r="E332" s="51"/>
      <c r="F332" s="51"/>
      <c r="G332" s="51"/>
      <c r="H332" s="52"/>
      <c r="I332" s="53"/>
      <c r="J332" s="54"/>
      <c r="K332" s="53"/>
      <c r="L332" s="54"/>
      <c r="M332" s="55" t="str">
        <f aca="false">IF(L332="","",L332-J332)</f>
        <v/>
      </c>
      <c r="N332" s="56" t="str">
        <f aca="true">IF(I332="","",IF(K332&lt;&gt;"","PAGO",IF(I332&lt;TODAY(),"VENCIDO",IF(I332=TODAY(),"VENCE HOJE","A VENCER"))))</f>
        <v/>
      </c>
      <c r="O332" s="57" t="str">
        <f aca="true">IF(OR(I332="",K332&lt;&gt;""),"",I332-TODAY())</f>
        <v/>
      </c>
      <c r="P332" s="51"/>
      <c r="Q332" s="51"/>
      <c r="R332" s="51"/>
      <c r="S332" s="50"/>
      <c r="T332" s="50"/>
      <c r="U332" s="52"/>
      <c r="V332" s="58" t="n">
        <f aca="false">IF(OR(B332="",I332="",F332="",F332=Cadastros!$E$4,F332=Cadastros!$E$9),999999,IF(COUNTIFS($B$5:$B$504,B332,$I$5:$I$504,"&gt;"&amp;I332)=0,YEAR(I332)*12+MONTH(I332),999999))</f>
        <v>999999</v>
      </c>
      <c r="W332" s="58" t="n">
        <f aca="false">IF(U332="",999999,YEAR(U332)*12+MONTH(U332))</f>
        <v>999999</v>
      </c>
      <c r="X332" s="58" t="n">
        <f aca="false">IF(F332=Cadastros!$E$6,3,IF(F332=Cadastros!$E$7,6,IF(F332=Cadastros!$E$8,12,1)))</f>
        <v>1</v>
      </c>
    </row>
    <row r="333" customFormat="false" ht="15" hidden="false" customHeight="false" outlineLevel="0" collapsed="false">
      <c r="A333" s="49" t="str">
        <f aca="false">IF(B333="","",ROW()-4)</f>
        <v/>
      </c>
      <c r="B333" s="50"/>
      <c r="C333" s="50"/>
      <c r="D333" s="50"/>
      <c r="E333" s="51"/>
      <c r="F333" s="51"/>
      <c r="G333" s="51"/>
      <c r="H333" s="52"/>
      <c r="I333" s="53"/>
      <c r="J333" s="54"/>
      <c r="K333" s="53"/>
      <c r="L333" s="54"/>
      <c r="M333" s="55" t="str">
        <f aca="false">IF(L333="","",L333-J333)</f>
        <v/>
      </c>
      <c r="N333" s="56" t="str">
        <f aca="true">IF(I333="","",IF(K333&lt;&gt;"","PAGO",IF(I333&lt;TODAY(),"VENCIDO",IF(I333=TODAY(),"VENCE HOJE","A VENCER"))))</f>
        <v/>
      </c>
      <c r="O333" s="57" t="str">
        <f aca="true">IF(OR(I333="",K333&lt;&gt;""),"",I333-TODAY())</f>
        <v/>
      </c>
      <c r="P333" s="51"/>
      <c r="Q333" s="51"/>
      <c r="R333" s="51"/>
      <c r="S333" s="50"/>
      <c r="T333" s="50"/>
      <c r="U333" s="52"/>
      <c r="V333" s="58" t="n">
        <f aca="false">IF(OR(B333="",I333="",F333="",F333=Cadastros!$E$4,F333=Cadastros!$E$9),999999,IF(COUNTIFS($B$5:$B$504,B333,$I$5:$I$504,"&gt;"&amp;I333)=0,YEAR(I333)*12+MONTH(I333),999999))</f>
        <v>999999</v>
      </c>
      <c r="W333" s="58" t="n">
        <f aca="false">IF(U333="",999999,YEAR(U333)*12+MONTH(U333))</f>
        <v>999999</v>
      </c>
      <c r="X333" s="58" t="n">
        <f aca="false">IF(F333=Cadastros!$E$6,3,IF(F333=Cadastros!$E$7,6,IF(F333=Cadastros!$E$8,12,1)))</f>
        <v>1</v>
      </c>
    </row>
    <row r="334" customFormat="false" ht="15" hidden="false" customHeight="false" outlineLevel="0" collapsed="false">
      <c r="A334" s="49" t="str">
        <f aca="false">IF(B334="","",ROW()-4)</f>
        <v/>
      </c>
      <c r="B334" s="50"/>
      <c r="C334" s="50"/>
      <c r="D334" s="50"/>
      <c r="E334" s="51"/>
      <c r="F334" s="51"/>
      <c r="G334" s="51"/>
      <c r="H334" s="52"/>
      <c r="I334" s="53"/>
      <c r="J334" s="54"/>
      <c r="K334" s="53"/>
      <c r="L334" s="54"/>
      <c r="M334" s="55" t="str">
        <f aca="false">IF(L334="","",L334-J334)</f>
        <v/>
      </c>
      <c r="N334" s="56" t="str">
        <f aca="true">IF(I334="","",IF(K334&lt;&gt;"","PAGO",IF(I334&lt;TODAY(),"VENCIDO",IF(I334=TODAY(),"VENCE HOJE","A VENCER"))))</f>
        <v/>
      </c>
      <c r="O334" s="57" t="str">
        <f aca="true">IF(OR(I334="",K334&lt;&gt;""),"",I334-TODAY())</f>
        <v/>
      </c>
      <c r="P334" s="51"/>
      <c r="Q334" s="51"/>
      <c r="R334" s="51"/>
      <c r="S334" s="50"/>
      <c r="T334" s="50"/>
      <c r="U334" s="52"/>
      <c r="V334" s="58" t="n">
        <f aca="false">IF(OR(B334="",I334="",F334="",F334=Cadastros!$E$4,F334=Cadastros!$E$9),999999,IF(COUNTIFS($B$5:$B$504,B334,$I$5:$I$504,"&gt;"&amp;I334)=0,YEAR(I334)*12+MONTH(I334),999999))</f>
        <v>999999</v>
      </c>
      <c r="W334" s="58" t="n">
        <f aca="false">IF(U334="",999999,YEAR(U334)*12+MONTH(U334))</f>
        <v>999999</v>
      </c>
      <c r="X334" s="58" t="n">
        <f aca="false">IF(F334=Cadastros!$E$6,3,IF(F334=Cadastros!$E$7,6,IF(F334=Cadastros!$E$8,12,1)))</f>
        <v>1</v>
      </c>
    </row>
    <row r="335" customFormat="false" ht="15" hidden="false" customHeight="false" outlineLevel="0" collapsed="false">
      <c r="A335" s="49" t="str">
        <f aca="false">IF(B335="","",ROW()-4)</f>
        <v/>
      </c>
      <c r="B335" s="50"/>
      <c r="C335" s="50"/>
      <c r="D335" s="50"/>
      <c r="E335" s="51"/>
      <c r="F335" s="51"/>
      <c r="G335" s="51"/>
      <c r="H335" s="52"/>
      <c r="I335" s="53"/>
      <c r="J335" s="54"/>
      <c r="K335" s="53"/>
      <c r="L335" s="54"/>
      <c r="M335" s="55" t="str">
        <f aca="false">IF(L335="","",L335-J335)</f>
        <v/>
      </c>
      <c r="N335" s="56" t="str">
        <f aca="true">IF(I335="","",IF(K335&lt;&gt;"","PAGO",IF(I335&lt;TODAY(),"VENCIDO",IF(I335=TODAY(),"VENCE HOJE","A VENCER"))))</f>
        <v/>
      </c>
      <c r="O335" s="57" t="str">
        <f aca="true">IF(OR(I335="",K335&lt;&gt;""),"",I335-TODAY())</f>
        <v/>
      </c>
      <c r="P335" s="51"/>
      <c r="Q335" s="51"/>
      <c r="R335" s="51"/>
      <c r="S335" s="50"/>
      <c r="T335" s="50"/>
      <c r="U335" s="52"/>
      <c r="V335" s="58" t="n">
        <f aca="false">IF(OR(B335="",I335="",F335="",F335=Cadastros!$E$4,F335=Cadastros!$E$9),999999,IF(COUNTIFS($B$5:$B$504,B335,$I$5:$I$504,"&gt;"&amp;I335)=0,YEAR(I335)*12+MONTH(I335),999999))</f>
        <v>999999</v>
      </c>
      <c r="W335" s="58" t="n">
        <f aca="false">IF(U335="",999999,YEAR(U335)*12+MONTH(U335))</f>
        <v>999999</v>
      </c>
      <c r="X335" s="58" t="n">
        <f aca="false">IF(F335=Cadastros!$E$6,3,IF(F335=Cadastros!$E$7,6,IF(F335=Cadastros!$E$8,12,1)))</f>
        <v>1</v>
      </c>
    </row>
    <row r="336" customFormat="false" ht="15" hidden="false" customHeight="false" outlineLevel="0" collapsed="false">
      <c r="A336" s="49" t="str">
        <f aca="false">IF(B336="","",ROW()-4)</f>
        <v/>
      </c>
      <c r="B336" s="50"/>
      <c r="C336" s="50"/>
      <c r="D336" s="50"/>
      <c r="E336" s="51"/>
      <c r="F336" s="51"/>
      <c r="G336" s="51"/>
      <c r="H336" s="52"/>
      <c r="I336" s="53"/>
      <c r="J336" s="54"/>
      <c r="K336" s="53"/>
      <c r="L336" s="54"/>
      <c r="M336" s="55" t="str">
        <f aca="false">IF(L336="","",L336-J336)</f>
        <v/>
      </c>
      <c r="N336" s="56" t="str">
        <f aca="true">IF(I336="","",IF(K336&lt;&gt;"","PAGO",IF(I336&lt;TODAY(),"VENCIDO",IF(I336=TODAY(),"VENCE HOJE","A VENCER"))))</f>
        <v/>
      </c>
      <c r="O336" s="57" t="str">
        <f aca="true">IF(OR(I336="",K336&lt;&gt;""),"",I336-TODAY())</f>
        <v/>
      </c>
      <c r="P336" s="51"/>
      <c r="Q336" s="51"/>
      <c r="R336" s="51"/>
      <c r="S336" s="50"/>
      <c r="T336" s="50"/>
      <c r="U336" s="52"/>
      <c r="V336" s="58" t="n">
        <f aca="false">IF(OR(B336="",I336="",F336="",F336=Cadastros!$E$4,F336=Cadastros!$E$9),999999,IF(COUNTIFS($B$5:$B$504,B336,$I$5:$I$504,"&gt;"&amp;I336)=0,YEAR(I336)*12+MONTH(I336),999999))</f>
        <v>999999</v>
      </c>
      <c r="W336" s="58" t="n">
        <f aca="false">IF(U336="",999999,YEAR(U336)*12+MONTH(U336))</f>
        <v>999999</v>
      </c>
      <c r="X336" s="58" t="n">
        <f aca="false">IF(F336=Cadastros!$E$6,3,IF(F336=Cadastros!$E$7,6,IF(F336=Cadastros!$E$8,12,1)))</f>
        <v>1</v>
      </c>
    </row>
    <row r="337" customFormat="false" ht="15" hidden="false" customHeight="false" outlineLevel="0" collapsed="false">
      <c r="A337" s="49" t="str">
        <f aca="false">IF(B337="","",ROW()-4)</f>
        <v/>
      </c>
      <c r="B337" s="50"/>
      <c r="C337" s="50"/>
      <c r="D337" s="50"/>
      <c r="E337" s="51"/>
      <c r="F337" s="51"/>
      <c r="G337" s="51"/>
      <c r="H337" s="52"/>
      <c r="I337" s="53"/>
      <c r="J337" s="54"/>
      <c r="K337" s="53"/>
      <c r="L337" s="54"/>
      <c r="M337" s="55" t="str">
        <f aca="false">IF(L337="","",L337-J337)</f>
        <v/>
      </c>
      <c r="N337" s="56" t="str">
        <f aca="true">IF(I337="","",IF(K337&lt;&gt;"","PAGO",IF(I337&lt;TODAY(),"VENCIDO",IF(I337=TODAY(),"VENCE HOJE","A VENCER"))))</f>
        <v/>
      </c>
      <c r="O337" s="57" t="str">
        <f aca="true">IF(OR(I337="",K337&lt;&gt;""),"",I337-TODAY())</f>
        <v/>
      </c>
      <c r="P337" s="51"/>
      <c r="Q337" s="51"/>
      <c r="R337" s="51"/>
      <c r="S337" s="50"/>
      <c r="T337" s="50"/>
      <c r="U337" s="52"/>
      <c r="V337" s="58" t="n">
        <f aca="false">IF(OR(B337="",I337="",F337="",F337=Cadastros!$E$4,F337=Cadastros!$E$9),999999,IF(COUNTIFS($B$5:$B$504,B337,$I$5:$I$504,"&gt;"&amp;I337)=0,YEAR(I337)*12+MONTH(I337),999999))</f>
        <v>999999</v>
      </c>
      <c r="W337" s="58" t="n">
        <f aca="false">IF(U337="",999999,YEAR(U337)*12+MONTH(U337))</f>
        <v>999999</v>
      </c>
      <c r="X337" s="58" t="n">
        <f aca="false">IF(F337=Cadastros!$E$6,3,IF(F337=Cadastros!$E$7,6,IF(F337=Cadastros!$E$8,12,1)))</f>
        <v>1</v>
      </c>
    </row>
    <row r="338" customFormat="false" ht="15" hidden="false" customHeight="false" outlineLevel="0" collapsed="false">
      <c r="A338" s="49" t="str">
        <f aca="false">IF(B338="","",ROW()-4)</f>
        <v/>
      </c>
      <c r="B338" s="50"/>
      <c r="C338" s="50"/>
      <c r="D338" s="50"/>
      <c r="E338" s="51"/>
      <c r="F338" s="51"/>
      <c r="G338" s="51"/>
      <c r="H338" s="52"/>
      <c r="I338" s="53"/>
      <c r="J338" s="54"/>
      <c r="K338" s="53"/>
      <c r="L338" s="54"/>
      <c r="M338" s="55" t="str">
        <f aca="false">IF(L338="","",L338-J338)</f>
        <v/>
      </c>
      <c r="N338" s="56" t="str">
        <f aca="true">IF(I338="","",IF(K338&lt;&gt;"","PAGO",IF(I338&lt;TODAY(),"VENCIDO",IF(I338=TODAY(),"VENCE HOJE","A VENCER"))))</f>
        <v/>
      </c>
      <c r="O338" s="57" t="str">
        <f aca="true">IF(OR(I338="",K338&lt;&gt;""),"",I338-TODAY())</f>
        <v/>
      </c>
      <c r="P338" s="51"/>
      <c r="Q338" s="51"/>
      <c r="R338" s="51"/>
      <c r="S338" s="50"/>
      <c r="T338" s="50"/>
      <c r="U338" s="52"/>
      <c r="V338" s="58" t="n">
        <f aca="false">IF(OR(B338="",I338="",F338="",F338=Cadastros!$E$4,F338=Cadastros!$E$9),999999,IF(COUNTIFS($B$5:$B$504,B338,$I$5:$I$504,"&gt;"&amp;I338)=0,YEAR(I338)*12+MONTH(I338),999999))</f>
        <v>999999</v>
      </c>
      <c r="W338" s="58" t="n">
        <f aca="false">IF(U338="",999999,YEAR(U338)*12+MONTH(U338))</f>
        <v>999999</v>
      </c>
      <c r="X338" s="58" t="n">
        <f aca="false">IF(F338=Cadastros!$E$6,3,IF(F338=Cadastros!$E$7,6,IF(F338=Cadastros!$E$8,12,1)))</f>
        <v>1</v>
      </c>
    </row>
    <row r="339" customFormat="false" ht="15" hidden="false" customHeight="false" outlineLevel="0" collapsed="false">
      <c r="A339" s="49" t="str">
        <f aca="false">IF(B339="","",ROW()-4)</f>
        <v/>
      </c>
      <c r="B339" s="50"/>
      <c r="C339" s="50"/>
      <c r="D339" s="50"/>
      <c r="E339" s="51"/>
      <c r="F339" s="51"/>
      <c r="G339" s="51"/>
      <c r="H339" s="52"/>
      <c r="I339" s="53"/>
      <c r="J339" s="54"/>
      <c r="K339" s="53"/>
      <c r="L339" s="54"/>
      <c r="M339" s="55" t="str">
        <f aca="false">IF(L339="","",L339-J339)</f>
        <v/>
      </c>
      <c r="N339" s="56" t="str">
        <f aca="true">IF(I339="","",IF(K339&lt;&gt;"","PAGO",IF(I339&lt;TODAY(),"VENCIDO",IF(I339=TODAY(),"VENCE HOJE","A VENCER"))))</f>
        <v/>
      </c>
      <c r="O339" s="57" t="str">
        <f aca="true">IF(OR(I339="",K339&lt;&gt;""),"",I339-TODAY())</f>
        <v/>
      </c>
      <c r="P339" s="51"/>
      <c r="Q339" s="51"/>
      <c r="R339" s="51"/>
      <c r="S339" s="50"/>
      <c r="T339" s="50"/>
      <c r="U339" s="52"/>
      <c r="V339" s="58" t="n">
        <f aca="false">IF(OR(B339="",I339="",F339="",F339=Cadastros!$E$4,F339=Cadastros!$E$9),999999,IF(COUNTIFS($B$5:$B$504,B339,$I$5:$I$504,"&gt;"&amp;I339)=0,YEAR(I339)*12+MONTH(I339),999999))</f>
        <v>999999</v>
      </c>
      <c r="W339" s="58" t="n">
        <f aca="false">IF(U339="",999999,YEAR(U339)*12+MONTH(U339))</f>
        <v>999999</v>
      </c>
      <c r="X339" s="58" t="n">
        <f aca="false">IF(F339=Cadastros!$E$6,3,IF(F339=Cadastros!$E$7,6,IF(F339=Cadastros!$E$8,12,1)))</f>
        <v>1</v>
      </c>
    </row>
    <row r="340" customFormat="false" ht="15" hidden="false" customHeight="false" outlineLevel="0" collapsed="false">
      <c r="A340" s="49" t="str">
        <f aca="false">IF(B340="","",ROW()-4)</f>
        <v/>
      </c>
      <c r="B340" s="50"/>
      <c r="C340" s="50"/>
      <c r="D340" s="50"/>
      <c r="E340" s="51"/>
      <c r="F340" s="51"/>
      <c r="G340" s="51"/>
      <c r="H340" s="52"/>
      <c r="I340" s="53"/>
      <c r="J340" s="54"/>
      <c r="K340" s="53"/>
      <c r="L340" s="54"/>
      <c r="M340" s="55" t="str">
        <f aca="false">IF(L340="","",L340-J340)</f>
        <v/>
      </c>
      <c r="N340" s="56" t="str">
        <f aca="true">IF(I340="","",IF(K340&lt;&gt;"","PAGO",IF(I340&lt;TODAY(),"VENCIDO",IF(I340=TODAY(),"VENCE HOJE","A VENCER"))))</f>
        <v/>
      </c>
      <c r="O340" s="57" t="str">
        <f aca="true">IF(OR(I340="",K340&lt;&gt;""),"",I340-TODAY())</f>
        <v/>
      </c>
      <c r="P340" s="51"/>
      <c r="Q340" s="51"/>
      <c r="R340" s="51"/>
      <c r="S340" s="50"/>
      <c r="T340" s="50"/>
      <c r="U340" s="52"/>
      <c r="V340" s="58" t="n">
        <f aca="false">IF(OR(B340="",I340="",F340="",F340=Cadastros!$E$4,F340=Cadastros!$E$9),999999,IF(COUNTIFS($B$5:$B$504,B340,$I$5:$I$504,"&gt;"&amp;I340)=0,YEAR(I340)*12+MONTH(I340),999999))</f>
        <v>999999</v>
      </c>
      <c r="W340" s="58" t="n">
        <f aca="false">IF(U340="",999999,YEAR(U340)*12+MONTH(U340))</f>
        <v>999999</v>
      </c>
      <c r="X340" s="58" t="n">
        <f aca="false">IF(F340=Cadastros!$E$6,3,IF(F340=Cadastros!$E$7,6,IF(F340=Cadastros!$E$8,12,1)))</f>
        <v>1</v>
      </c>
    </row>
    <row r="341" customFormat="false" ht="15" hidden="false" customHeight="false" outlineLevel="0" collapsed="false">
      <c r="A341" s="49" t="str">
        <f aca="false">IF(B341="","",ROW()-4)</f>
        <v/>
      </c>
      <c r="B341" s="50"/>
      <c r="C341" s="50"/>
      <c r="D341" s="50"/>
      <c r="E341" s="51"/>
      <c r="F341" s="51"/>
      <c r="G341" s="51"/>
      <c r="H341" s="52"/>
      <c r="I341" s="53"/>
      <c r="J341" s="54"/>
      <c r="K341" s="53"/>
      <c r="L341" s="54"/>
      <c r="M341" s="55" t="str">
        <f aca="false">IF(L341="","",L341-J341)</f>
        <v/>
      </c>
      <c r="N341" s="56" t="str">
        <f aca="true">IF(I341="","",IF(K341&lt;&gt;"","PAGO",IF(I341&lt;TODAY(),"VENCIDO",IF(I341=TODAY(),"VENCE HOJE","A VENCER"))))</f>
        <v/>
      </c>
      <c r="O341" s="57" t="str">
        <f aca="true">IF(OR(I341="",K341&lt;&gt;""),"",I341-TODAY())</f>
        <v/>
      </c>
      <c r="P341" s="51"/>
      <c r="Q341" s="51"/>
      <c r="R341" s="51"/>
      <c r="S341" s="50"/>
      <c r="T341" s="50"/>
      <c r="U341" s="52"/>
      <c r="V341" s="58" t="n">
        <f aca="false">IF(OR(B341="",I341="",F341="",F341=Cadastros!$E$4,F341=Cadastros!$E$9),999999,IF(COUNTIFS($B$5:$B$504,B341,$I$5:$I$504,"&gt;"&amp;I341)=0,YEAR(I341)*12+MONTH(I341),999999))</f>
        <v>999999</v>
      </c>
      <c r="W341" s="58" t="n">
        <f aca="false">IF(U341="",999999,YEAR(U341)*12+MONTH(U341))</f>
        <v>999999</v>
      </c>
      <c r="X341" s="58" t="n">
        <f aca="false">IF(F341=Cadastros!$E$6,3,IF(F341=Cadastros!$E$7,6,IF(F341=Cadastros!$E$8,12,1)))</f>
        <v>1</v>
      </c>
    </row>
    <row r="342" customFormat="false" ht="15" hidden="false" customHeight="false" outlineLevel="0" collapsed="false">
      <c r="A342" s="49" t="str">
        <f aca="false">IF(B342="","",ROW()-4)</f>
        <v/>
      </c>
      <c r="B342" s="50"/>
      <c r="C342" s="50"/>
      <c r="D342" s="50"/>
      <c r="E342" s="51"/>
      <c r="F342" s="51"/>
      <c r="G342" s="51"/>
      <c r="H342" s="52"/>
      <c r="I342" s="53"/>
      <c r="J342" s="54"/>
      <c r="K342" s="53"/>
      <c r="L342" s="54"/>
      <c r="M342" s="55" t="str">
        <f aca="false">IF(L342="","",L342-J342)</f>
        <v/>
      </c>
      <c r="N342" s="56" t="str">
        <f aca="true">IF(I342="","",IF(K342&lt;&gt;"","PAGO",IF(I342&lt;TODAY(),"VENCIDO",IF(I342=TODAY(),"VENCE HOJE","A VENCER"))))</f>
        <v/>
      </c>
      <c r="O342" s="57" t="str">
        <f aca="true">IF(OR(I342="",K342&lt;&gt;""),"",I342-TODAY())</f>
        <v/>
      </c>
      <c r="P342" s="51"/>
      <c r="Q342" s="51"/>
      <c r="R342" s="51"/>
      <c r="S342" s="50"/>
      <c r="T342" s="50"/>
      <c r="U342" s="52"/>
      <c r="V342" s="58" t="n">
        <f aca="false">IF(OR(B342="",I342="",F342="",F342=Cadastros!$E$4,F342=Cadastros!$E$9),999999,IF(COUNTIFS($B$5:$B$504,B342,$I$5:$I$504,"&gt;"&amp;I342)=0,YEAR(I342)*12+MONTH(I342),999999))</f>
        <v>999999</v>
      </c>
      <c r="W342" s="58" t="n">
        <f aca="false">IF(U342="",999999,YEAR(U342)*12+MONTH(U342))</f>
        <v>999999</v>
      </c>
      <c r="X342" s="58" t="n">
        <f aca="false">IF(F342=Cadastros!$E$6,3,IF(F342=Cadastros!$E$7,6,IF(F342=Cadastros!$E$8,12,1)))</f>
        <v>1</v>
      </c>
    </row>
    <row r="343" customFormat="false" ht="15" hidden="false" customHeight="false" outlineLevel="0" collapsed="false">
      <c r="A343" s="49" t="str">
        <f aca="false">IF(B343="","",ROW()-4)</f>
        <v/>
      </c>
      <c r="B343" s="50"/>
      <c r="C343" s="50"/>
      <c r="D343" s="50"/>
      <c r="E343" s="51"/>
      <c r="F343" s="51"/>
      <c r="G343" s="51"/>
      <c r="H343" s="52"/>
      <c r="I343" s="53"/>
      <c r="J343" s="54"/>
      <c r="K343" s="53"/>
      <c r="L343" s="54"/>
      <c r="M343" s="55" t="str">
        <f aca="false">IF(L343="","",L343-J343)</f>
        <v/>
      </c>
      <c r="N343" s="56" t="str">
        <f aca="true">IF(I343="","",IF(K343&lt;&gt;"","PAGO",IF(I343&lt;TODAY(),"VENCIDO",IF(I343=TODAY(),"VENCE HOJE","A VENCER"))))</f>
        <v/>
      </c>
      <c r="O343" s="57" t="str">
        <f aca="true">IF(OR(I343="",K343&lt;&gt;""),"",I343-TODAY())</f>
        <v/>
      </c>
      <c r="P343" s="51"/>
      <c r="Q343" s="51"/>
      <c r="R343" s="51"/>
      <c r="S343" s="50"/>
      <c r="T343" s="50"/>
      <c r="U343" s="52"/>
      <c r="V343" s="58" t="n">
        <f aca="false">IF(OR(B343="",I343="",F343="",F343=Cadastros!$E$4,F343=Cadastros!$E$9),999999,IF(COUNTIFS($B$5:$B$504,B343,$I$5:$I$504,"&gt;"&amp;I343)=0,YEAR(I343)*12+MONTH(I343),999999))</f>
        <v>999999</v>
      </c>
      <c r="W343" s="58" t="n">
        <f aca="false">IF(U343="",999999,YEAR(U343)*12+MONTH(U343))</f>
        <v>999999</v>
      </c>
      <c r="X343" s="58" t="n">
        <f aca="false">IF(F343=Cadastros!$E$6,3,IF(F343=Cadastros!$E$7,6,IF(F343=Cadastros!$E$8,12,1)))</f>
        <v>1</v>
      </c>
    </row>
    <row r="344" customFormat="false" ht="15" hidden="false" customHeight="false" outlineLevel="0" collapsed="false">
      <c r="A344" s="49" t="str">
        <f aca="false">IF(B344="","",ROW()-4)</f>
        <v/>
      </c>
      <c r="B344" s="50"/>
      <c r="C344" s="50"/>
      <c r="D344" s="50"/>
      <c r="E344" s="51"/>
      <c r="F344" s="51"/>
      <c r="G344" s="51"/>
      <c r="H344" s="52"/>
      <c r="I344" s="53"/>
      <c r="J344" s="54"/>
      <c r="K344" s="53"/>
      <c r="L344" s="54"/>
      <c r="M344" s="55" t="str">
        <f aca="false">IF(L344="","",L344-J344)</f>
        <v/>
      </c>
      <c r="N344" s="56" t="str">
        <f aca="true">IF(I344="","",IF(K344&lt;&gt;"","PAGO",IF(I344&lt;TODAY(),"VENCIDO",IF(I344=TODAY(),"VENCE HOJE","A VENCER"))))</f>
        <v/>
      </c>
      <c r="O344" s="57" t="str">
        <f aca="true">IF(OR(I344="",K344&lt;&gt;""),"",I344-TODAY())</f>
        <v/>
      </c>
      <c r="P344" s="51"/>
      <c r="Q344" s="51"/>
      <c r="R344" s="51"/>
      <c r="S344" s="50"/>
      <c r="T344" s="50"/>
      <c r="U344" s="52"/>
      <c r="V344" s="58" t="n">
        <f aca="false">IF(OR(B344="",I344="",F344="",F344=Cadastros!$E$4,F344=Cadastros!$E$9),999999,IF(COUNTIFS($B$5:$B$504,B344,$I$5:$I$504,"&gt;"&amp;I344)=0,YEAR(I344)*12+MONTH(I344),999999))</f>
        <v>999999</v>
      </c>
      <c r="W344" s="58" t="n">
        <f aca="false">IF(U344="",999999,YEAR(U344)*12+MONTH(U344))</f>
        <v>999999</v>
      </c>
      <c r="X344" s="58" t="n">
        <f aca="false">IF(F344=Cadastros!$E$6,3,IF(F344=Cadastros!$E$7,6,IF(F344=Cadastros!$E$8,12,1)))</f>
        <v>1</v>
      </c>
    </row>
    <row r="345" customFormat="false" ht="15" hidden="false" customHeight="false" outlineLevel="0" collapsed="false">
      <c r="A345" s="49" t="str">
        <f aca="false">IF(B345="","",ROW()-4)</f>
        <v/>
      </c>
      <c r="B345" s="50"/>
      <c r="C345" s="50"/>
      <c r="D345" s="50"/>
      <c r="E345" s="51"/>
      <c r="F345" s="51"/>
      <c r="G345" s="51"/>
      <c r="H345" s="52"/>
      <c r="I345" s="53"/>
      <c r="J345" s="54"/>
      <c r="K345" s="53"/>
      <c r="L345" s="54"/>
      <c r="M345" s="55" t="str">
        <f aca="false">IF(L345="","",L345-J345)</f>
        <v/>
      </c>
      <c r="N345" s="56" t="str">
        <f aca="true">IF(I345="","",IF(K345&lt;&gt;"","PAGO",IF(I345&lt;TODAY(),"VENCIDO",IF(I345=TODAY(),"VENCE HOJE","A VENCER"))))</f>
        <v/>
      </c>
      <c r="O345" s="57" t="str">
        <f aca="true">IF(OR(I345="",K345&lt;&gt;""),"",I345-TODAY())</f>
        <v/>
      </c>
      <c r="P345" s="51"/>
      <c r="Q345" s="51"/>
      <c r="R345" s="51"/>
      <c r="S345" s="50"/>
      <c r="T345" s="50"/>
      <c r="U345" s="52"/>
      <c r="V345" s="58" t="n">
        <f aca="false">IF(OR(B345="",I345="",F345="",F345=Cadastros!$E$4,F345=Cadastros!$E$9),999999,IF(COUNTIFS($B$5:$B$504,B345,$I$5:$I$504,"&gt;"&amp;I345)=0,YEAR(I345)*12+MONTH(I345),999999))</f>
        <v>999999</v>
      </c>
      <c r="W345" s="58" t="n">
        <f aca="false">IF(U345="",999999,YEAR(U345)*12+MONTH(U345))</f>
        <v>999999</v>
      </c>
      <c r="X345" s="58" t="n">
        <f aca="false">IF(F345=Cadastros!$E$6,3,IF(F345=Cadastros!$E$7,6,IF(F345=Cadastros!$E$8,12,1)))</f>
        <v>1</v>
      </c>
    </row>
    <row r="346" customFormat="false" ht="15" hidden="false" customHeight="false" outlineLevel="0" collapsed="false">
      <c r="A346" s="49" t="str">
        <f aca="false">IF(B346="","",ROW()-4)</f>
        <v/>
      </c>
      <c r="B346" s="50"/>
      <c r="C346" s="50"/>
      <c r="D346" s="50"/>
      <c r="E346" s="51"/>
      <c r="F346" s="51"/>
      <c r="G346" s="51"/>
      <c r="H346" s="52"/>
      <c r="I346" s="53"/>
      <c r="J346" s="54"/>
      <c r="K346" s="53"/>
      <c r="L346" s="54"/>
      <c r="M346" s="55" t="str">
        <f aca="false">IF(L346="","",L346-J346)</f>
        <v/>
      </c>
      <c r="N346" s="56" t="str">
        <f aca="true">IF(I346="","",IF(K346&lt;&gt;"","PAGO",IF(I346&lt;TODAY(),"VENCIDO",IF(I346=TODAY(),"VENCE HOJE","A VENCER"))))</f>
        <v/>
      </c>
      <c r="O346" s="57" t="str">
        <f aca="true">IF(OR(I346="",K346&lt;&gt;""),"",I346-TODAY())</f>
        <v/>
      </c>
      <c r="P346" s="51"/>
      <c r="Q346" s="51"/>
      <c r="R346" s="51"/>
      <c r="S346" s="50"/>
      <c r="T346" s="50"/>
      <c r="U346" s="52"/>
      <c r="V346" s="58" t="n">
        <f aca="false">IF(OR(B346="",I346="",F346="",F346=Cadastros!$E$4,F346=Cadastros!$E$9),999999,IF(COUNTIFS($B$5:$B$504,B346,$I$5:$I$504,"&gt;"&amp;I346)=0,YEAR(I346)*12+MONTH(I346),999999))</f>
        <v>999999</v>
      </c>
      <c r="W346" s="58" t="n">
        <f aca="false">IF(U346="",999999,YEAR(U346)*12+MONTH(U346))</f>
        <v>999999</v>
      </c>
      <c r="X346" s="58" t="n">
        <f aca="false">IF(F346=Cadastros!$E$6,3,IF(F346=Cadastros!$E$7,6,IF(F346=Cadastros!$E$8,12,1)))</f>
        <v>1</v>
      </c>
    </row>
    <row r="347" customFormat="false" ht="15" hidden="false" customHeight="false" outlineLevel="0" collapsed="false">
      <c r="A347" s="49" t="str">
        <f aca="false">IF(B347="","",ROW()-4)</f>
        <v/>
      </c>
      <c r="B347" s="50"/>
      <c r="C347" s="50"/>
      <c r="D347" s="50"/>
      <c r="E347" s="51"/>
      <c r="F347" s="51"/>
      <c r="G347" s="51"/>
      <c r="H347" s="52"/>
      <c r="I347" s="53"/>
      <c r="J347" s="54"/>
      <c r="K347" s="53"/>
      <c r="L347" s="54"/>
      <c r="M347" s="55" t="str">
        <f aca="false">IF(L347="","",L347-J347)</f>
        <v/>
      </c>
      <c r="N347" s="56" t="str">
        <f aca="true">IF(I347="","",IF(K347&lt;&gt;"","PAGO",IF(I347&lt;TODAY(),"VENCIDO",IF(I347=TODAY(),"VENCE HOJE","A VENCER"))))</f>
        <v/>
      </c>
      <c r="O347" s="57" t="str">
        <f aca="true">IF(OR(I347="",K347&lt;&gt;""),"",I347-TODAY())</f>
        <v/>
      </c>
      <c r="P347" s="51"/>
      <c r="Q347" s="51"/>
      <c r="R347" s="51"/>
      <c r="S347" s="50"/>
      <c r="T347" s="50"/>
      <c r="U347" s="52"/>
      <c r="V347" s="58" t="n">
        <f aca="false">IF(OR(B347="",I347="",F347="",F347=Cadastros!$E$4,F347=Cadastros!$E$9),999999,IF(COUNTIFS($B$5:$B$504,B347,$I$5:$I$504,"&gt;"&amp;I347)=0,YEAR(I347)*12+MONTH(I347),999999))</f>
        <v>999999</v>
      </c>
      <c r="W347" s="58" t="n">
        <f aca="false">IF(U347="",999999,YEAR(U347)*12+MONTH(U347))</f>
        <v>999999</v>
      </c>
      <c r="X347" s="58" t="n">
        <f aca="false">IF(F347=Cadastros!$E$6,3,IF(F347=Cadastros!$E$7,6,IF(F347=Cadastros!$E$8,12,1)))</f>
        <v>1</v>
      </c>
    </row>
    <row r="348" customFormat="false" ht="15" hidden="false" customHeight="false" outlineLevel="0" collapsed="false">
      <c r="A348" s="49" t="str">
        <f aca="false">IF(B348="","",ROW()-4)</f>
        <v/>
      </c>
      <c r="B348" s="50"/>
      <c r="C348" s="50"/>
      <c r="D348" s="50"/>
      <c r="E348" s="51"/>
      <c r="F348" s="51"/>
      <c r="G348" s="51"/>
      <c r="H348" s="52"/>
      <c r="I348" s="53"/>
      <c r="J348" s="54"/>
      <c r="K348" s="53"/>
      <c r="L348" s="54"/>
      <c r="M348" s="55" t="str">
        <f aca="false">IF(L348="","",L348-J348)</f>
        <v/>
      </c>
      <c r="N348" s="56" t="str">
        <f aca="true">IF(I348="","",IF(K348&lt;&gt;"","PAGO",IF(I348&lt;TODAY(),"VENCIDO",IF(I348=TODAY(),"VENCE HOJE","A VENCER"))))</f>
        <v/>
      </c>
      <c r="O348" s="57" t="str">
        <f aca="true">IF(OR(I348="",K348&lt;&gt;""),"",I348-TODAY())</f>
        <v/>
      </c>
      <c r="P348" s="51"/>
      <c r="Q348" s="51"/>
      <c r="R348" s="51"/>
      <c r="S348" s="50"/>
      <c r="T348" s="50"/>
      <c r="U348" s="52"/>
      <c r="V348" s="58" t="n">
        <f aca="false">IF(OR(B348="",I348="",F348="",F348=Cadastros!$E$4,F348=Cadastros!$E$9),999999,IF(COUNTIFS($B$5:$B$504,B348,$I$5:$I$504,"&gt;"&amp;I348)=0,YEAR(I348)*12+MONTH(I348),999999))</f>
        <v>999999</v>
      </c>
      <c r="W348" s="58" t="n">
        <f aca="false">IF(U348="",999999,YEAR(U348)*12+MONTH(U348))</f>
        <v>999999</v>
      </c>
      <c r="X348" s="58" t="n">
        <f aca="false">IF(F348=Cadastros!$E$6,3,IF(F348=Cadastros!$E$7,6,IF(F348=Cadastros!$E$8,12,1)))</f>
        <v>1</v>
      </c>
    </row>
    <row r="349" customFormat="false" ht="15" hidden="false" customHeight="false" outlineLevel="0" collapsed="false">
      <c r="A349" s="49" t="str">
        <f aca="false">IF(B349="","",ROW()-4)</f>
        <v/>
      </c>
      <c r="B349" s="50"/>
      <c r="C349" s="50"/>
      <c r="D349" s="50"/>
      <c r="E349" s="51"/>
      <c r="F349" s="51"/>
      <c r="G349" s="51"/>
      <c r="H349" s="52"/>
      <c r="I349" s="53"/>
      <c r="J349" s="54"/>
      <c r="K349" s="53"/>
      <c r="L349" s="54"/>
      <c r="M349" s="55" t="str">
        <f aca="false">IF(L349="","",L349-J349)</f>
        <v/>
      </c>
      <c r="N349" s="56" t="str">
        <f aca="true">IF(I349="","",IF(K349&lt;&gt;"","PAGO",IF(I349&lt;TODAY(),"VENCIDO",IF(I349=TODAY(),"VENCE HOJE","A VENCER"))))</f>
        <v/>
      </c>
      <c r="O349" s="57" t="str">
        <f aca="true">IF(OR(I349="",K349&lt;&gt;""),"",I349-TODAY())</f>
        <v/>
      </c>
      <c r="P349" s="51"/>
      <c r="Q349" s="51"/>
      <c r="R349" s="51"/>
      <c r="S349" s="50"/>
      <c r="T349" s="50"/>
      <c r="U349" s="52"/>
      <c r="V349" s="58" t="n">
        <f aca="false">IF(OR(B349="",I349="",F349="",F349=Cadastros!$E$4,F349=Cadastros!$E$9),999999,IF(COUNTIFS($B$5:$B$504,B349,$I$5:$I$504,"&gt;"&amp;I349)=0,YEAR(I349)*12+MONTH(I349),999999))</f>
        <v>999999</v>
      </c>
      <c r="W349" s="58" t="n">
        <f aca="false">IF(U349="",999999,YEAR(U349)*12+MONTH(U349))</f>
        <v>999999</v>
      </c>
      <c r="X349" s="58" t="n">
        <f aca="false">IF(F349=Cadastros!$E$6,3,IF(F349=Cadastros!$E$7,6,IF(F349=Cadastros!$E$8,12,1)))</f>
        <v>1</v>
      </c>
    </row>
    <row r="350" customFormat="false" ht="15" hidden="false" customHeight="false" outlineLevel="0" collapsed="false">
      <c r="A350" s="49" t="str">
        <f aca="false">IF(B350="","",ROW()-4)</f>
        <v/>
      </c>
      <c r="B350" s="50"/>
      <c r="C350" s="50"/>
      <c r="D350" s="50"/>
      <c r="E350" s="51"/>
      <c r="F350" s="51"/>
      <c r="G350" s="51"/>
      <c r="H350" s="52"/>
      <c r="I350" s="53"/>
      <c r="J350" s="54"/>
      <c r="K350" s="53"/>
      <c r="L350" s="54"/>
      <c r="M350" s="55" t="str">
        <f aca="false">IF(L350="","",L350-J350)</f>
        <v/>
      </c>
      <c r="N350" s="56" t="str">
        <f aca="true">IF(I350="","",IF(K350&lt;&gt;"","PAGO",IF(I350&lt;TODAY(),"VENCIDO",IF(I350=TODAY(),"VENCE HOJE","A VENCER"))))</f>
        <v/>
      </c>
      <c r="O350" s="57" t="str">
        <f aca="true">IF(OR(I350="",K350&lt;&gt;""),"",I350-TODAY())</f>
        <v/>
      </c>
      <c r="P350" s="51"/>
      <c r="Q350" s="51"/>
      <c r="R350" s="51"/>
      <c r="S350" s="50"/>
      <c r="T350" s="50"/>
      <c r="U350" s="52"/>
      <c r="V350" s="58" t="n">
        <f aca="false">IF(OR(B350="",I350="",F350="",F350=Cadastros!$E$4,F350=Cadastros!$E$9),999999,IF(COUNTIFS($B$5:$B$504,B350,$I$5:$I$504,"&gt;"&amp;I350)=0,YEAR(I350)*12+MONTH(I350),999999))</f>
        <v>999999</v>
      </c>
      <c r="W350" s="58" t="n">
        <f aca="false">IF(U350="",999999,YEAR(U350)*12+MONTH(U350))</f>
        <v>999999</v>
      </c>
      <c r="X350" s="58" t="n">
        <f aca="false">IF(F350=Cadastros!$E$6,3,IF(F350=Cadastros!$E$7,6,IF(F350=Cadastros!$E$8,12,1)))</f>
        <v>1</v>
      </c>
    </row>
    <row r="351" customFormat="false" ht="15" hidden="false" customHeight="false" outlineLevel="0" collapsed="false">
      <c r="A351" s="49" t="str">
        <f aca="false">IF(B351="","",ROW()-4)</f>
        <v/>
      </c>
      <c r="B351" s="50"/>
      <c r="C351" s="50"/>
      <c r="D351" s="50"/>
      <c r="E351" s="51"/>
      <c r="F351" s="51"/>
      <c r="G351" s="51"/>
      <c r="H351" s="52"/>
      <c r="I351" s="53"/>
      <c r="J351" s="54"/>
      <c r="K351" s="53"/>
      <c r="L351" s="54"/>
      <c r="M351" s="55" t="str">
        <f aca="false">IF(L351="","",L351-J351)</f>
        <v/>
      </c>
      <c r="N351" s="56" t="str">
        <f aca="true">IF(I351="","",IF(K351&lt;&gt;"","PAGO",IF(I351&lt;TODAY(),"VENCIDO",IF(I351=TODAY(),"VENCE HOJE","A VENCER"))))</f>
        <v/>
      </c>
      <c r="O351" s="57" t="str">
        <f aca="true">IF(OR(I351="",K351&lt;&gt;""),"",I351-TODAY())</f>
        <v/>
      </c>
      <c r="P351" s="51"/>
      <c r="Q351" s="51"/>
      <c r="R351" s="51"/>
      <c r="S351" s="50"/>
      <c r="T351" s="50"/>
      <c r="U351" s="52"/>
      <c r="V351" s="58" t="n">
        <f aca="false">IF(OR(B351="",I351="",F351="",F351=Cadastros!$E$4,F351=Cadastros!$E$9),999999,IF(COUNTIFS($B$5:$B$504,B351,$I$5:$I$504,"&gt;"&amp;I351)=0,YEAR(I351)*12+MONTH(I351),999999))</f>
        <v>999999</v>
      </c>
      <c r="W351" s="58" t="n">
        <f aca="false">IF(U351="",999999,YEAR(U351)*12+MONTH(U351))</f>
        <v>999999</v>
      </c>
      <c r="X351" s="58" t="n">
        <f aca="false">IF(F351=Cadastros!$E$6,3,IF(F351=Cadastros!$E$7,6,IF(F351=Cadastros!$E$8,12,1)))</f>
        <v>1</v>
      </c>
    </row>
    <row r="352" customFormat="false" ht="15" hidden="false" customHeight="false" outlineLevel="0" collapsed="false">
      <c r="A352" s="49" t="str">
        <f aca="false">IF(B352="","",ROW()-4)</f>
        <v/>
      </c>
      <c r="B352" s="50"/>
      <c r="C352" s="50"/>
      <c r="D352" s="50"/>
      <c r="E352" s="51"/>
      <c r="F352" s="51"/>
      <c r="G352" s="51"/>
      <c r="H352" s="52"/>
      <c r="I352" s="53"/>
      <c r="J352" s="54"/>
      <c r="K352" s="53"/>
      <c r="L352" s="54"/>
      <c r="M352" s="55" t="str">
        <f aca="false">IF(L352="","",L352-J352)</f>
        <v/>
      </c>
      <c r="N352" s="56" t="str">
        <f aca="true">IF(I352="","",IF(K352&lt;&gt;"","PAGO",IF(I352&lt;TODAY(),"VENCIDO",IF(I352=TODAY(),"VENCE HOJE","A VENCER"))))</f>
        <v/>
      </c>
      <c r="O352" s="57" t="str">
        <f aca="true">IF(OR(I352="",K352&lt;&gt;""),"",I352-TODAY())</f>
        <v/>
      </c>
      <c r="P352" s="51"/>
      <c r="Q352" s="51"/>
      <c r="R352" s="51"/>
      <c r="S352" s="50"/>
      <c r="T352" s="50"/>
      <c r="U352" s="52"/>
      <c r="V352" s="58" t="n">
        <f aca="false">IF(OR(B352="",I352="",F352="",F352=Cadastros!$E$4,F352=Cadastros!$E$9),999999,IF(COUNTIFS($B$5:$B$504,B352,$I$5:$I$504,"&gt;"&amp;I352)=0,YEAR(I352)*12+MONTH(I352),999999))</f>
        <v>999999</v>
      </c>
      <c r="W352" s="58" t="n">
        <f aca="false">IF(U352="",999999,YEAR(U352)*12+MONTH(U352))</f>
        <v>999999</v>
      </c>
      <c r="X352" s="58" t="n">
        <f aca="false">IF(F352=Cadastros!$E$6,3,IF(F352=Cadastros!$E$7,6,IF(F352=Cadastros!$E$8,12,1)))</f>
        <v>1</v>
      </c>
    </row>
    <row r="353" customFormat="false" ht="15" hidden="false" customHeight="false" outlineLevel="0" collapsed="false">
      <c r="A353" s="49" t="str">
        <f aca="false">IF(B353="","",ROW()-4)</f>
        <v/>
      </c>
      <c r="B353" s="50"/>
      <c r="C353" s="50"/>
      <c r="D353" s="50"/>
      <c r="E353" s="51"/>
      <c r="F353" s="51"/>
      <c r="G353" s="51"/>
      <c r="H353" s="52"/>
      <c r="I353" s="53"/>
      <c r="J353" s="54"/>
      <c r="K353" s="53"/>
      <c r="L353" s="54"/>
      <c r="M353" s="55" t="str">
        <f aca="false">IF(L353="","",L353-J353)</f>
        <v/>
      </c>
      <c r="N353" s="56" t="str">
        <f aca="true">IF(I353="","",IF(K353&lt;&gt;"","PAGO",IF(I353&lt;TODAY(),"VENCIDO",IF(I353=TODAY(),"VENCE HOJE","A VENCER"))))</f>
        <v/>
      </c>
      <c r="O353" s="57" t="str">
        <f aca="true">IF(OR(I353="",K353&lt;&gt;""),"",I353-TODAY())</f>
        <v/>
      </c>
      <c r="P353" s="51"/>
      <c r="Q353" s="51"/>
      <c r="R353" s="51"/>
      <c r="S353" s="50"/>
      <c r="T353" s="50"/>
      <c r="U353" s="52"/>
      <c r="V353" s="58" t="n">
        <f aca="false">IF(OR(B353="",I353="",F353="",F353=Cadastros!$E$4,F353=Cadastros!$E$9),999999,IF(COUNTIFS($B$5:$B$504,B353,$I$5:$I$504,"&gt;"&amp;I353)=0,YEAR(I353)*12+MONTH(I353),999999))</f>
        <v>999999</v>
      </c>
      <c r="W353" s="58" t="n">
        <f aca="false">IF(U353="",999999,YEAR(U353)*12+MONTH(U353))</f>
        <v>999999</v>
      </c>
      <c r="X353" s="58" t="n">
        <f aca="false">IF(F353=Cadastros!$E$6,3,IF(F353=Cadastros!$E$7,6,IF(F353=Cadastros!$E$8,12,1)))</f>
        <v>1</v>
      </c>
    </row>
    <row r="354" customFormat="false" ht="15" hidden="false" customHeight="false" outlineLevel="0" collapsed="false">
      <c r="A354" s="49" t="str">
        <f aca="false">IF(B354="","",ROW()-4)</f>
        <v/>
      </c>
      <c r="B354" s="50"/>
      <c r="C354" s="50"/>
      <c r="D354" s="50"/>
      <c r="E354" s="51"/>
      <c r="F354" s="51"/>
      <c r="G354" s="51"/>
      <c r="H354" s="52"/>
      <c r="I354" s="53"/>
      <c r="J354" s="54"/>
      <c r="K354" s="53"/>
      <c r="L354" s="54"/>
      <c r="M354" s="55" t="str">
        <f aca="false">IF(L354="","",L354-J354)</f>
        <v/>
      </c>
      <c r="N354" s="56" t="str">
        <f aca="true">IF(I354="","",IF(K354&lt;&gt;"","PAGO",IF(I354&lt;TODAY(),"VENCIDO",IF(I354=TODAY(),"VENCE HOJE","A VENCER"))))</f>
        <v/>
      </c>
      <c r="O354" s="57" t="str">
        <f aca="true">IF(OR(I354="",K354&lt;&gt;""),"",I354-TODAY())</f>
        <v/>
      </c>
      <c r="P354" s="51"/>
      <c r="Q354" s="51"/>
      <c r="R354" s="51"/>
      <c r="S354" s="50"/>
      <c r="T354" s="50"/>
      <c r="U354" s="52"/>
      <c r="V354" s="58" t="n">
        <f aca="false">IF(OR(B354="",I354="",F354="",F354=Cadastros!$E$4,F354=Cadastros!$E$9),999999,IF(COUNTIFS($B$5:$B$504,B354,$I$5:$I$504,"&gt;"&amp;I354)=0,YEAR(I354)*12+MONTH(I354),999999))</f>
        <v>999999</v>
      </c>
      <c r="W354" s="58" t="n">
        <f aca="false">IF(U354="",999999,YEAR(U354)*12+MONTH(U354))</f>
        <v>999999</v>
      </c>
      <c r="X354" s="58" t="n">
        <f aca="false">IF(F354=Cadastros!$E$6,3,IF(F354=Cadastros!$E$7,6,IF(F354=Cadastros!$E$8,12,1)))</f>
        <v>1</v>
      </c>
    </row>
    <row r="355" customFormat="false" ht="15" hidden="false" customHeight="false" outlineLevel="0" collapsed="false">
      <c r="A355" s="49" t="str">
        <f aca="false">IF(B355="","",ROW()-4)</f>
        <v/>
      </c>
      <c r="B355" s="50"/>
      <c r="C355" s="50"/>
      <c r="D355" s="50"/>
      <c r="E355" s="51"/>
      <c r="F355" s="51"/>
      <c r="G355" s="51"/>
      <c r="H355" s="52"/>
      <c r="I355" s="53"/>
      <c r="J355" s="54"/>
      <c r="K355" s="53"/>
      <c r="L355" s="54"/>
      <c r="M355" s="55" t="str">
        <f aca="false">IF(L355="","",L355-J355)</f>
        <v/>
      </c>
      <c r="N355" s="56" t="str">
        <f aca="true">IF(I355="","",IF(K355&lt;&gt;"","PAGO",IF(I355&lt;TODAY(),"VENCIDO",IF(I355=TODAY(),"VENCE HOJE","A VENCER"))))</f>
        <v/>
      </c>
      <c r="O355" s="57" t="str">
        <f aca="true">IF(OR(I355="",K355&lt;&gt;""),"",I355-TODAY())</f>
        <v/>
      </c>
      <c r="P355" s="51"/>
      <c r="Q355" s="51"/>
      <c r="R355" s="51"/>
      <c r="S355" s="50"/>
      <c r="T355" s="50"/>
      <c r="U355" s="52"/>
      <c r="V355" s="58" t="n">
        <f aca="false">IF(OR(B355="",I355="",F355="",F355=Cadastros!$E$4,F355=Cadastros!$E$9),999999,IF(COUNTIFS($B$5:$B$504,B355,$I$5:$I$504,"&gt;"&amp;I355)=0,YEAR(I355)*12+MONTH(I355),999999))</f>
        <v>999999</v>
      </c>
      <c r="W355" s="58" t="n">
        <f aca="false">IF(U355="",999999,YEAR(U355)*12+MONTH(U355))</f>
        <v>999999</v>
      </c>
      <c r="X355" s="58" t="n">
        <f aca="false">IF(F355=Cadastros!$E$6,3,IF(F355=Cadastros!$E$7,6,IF(F355=Cadastros!$E$8,12,1)))</f>
        <v>1</v>
      </c>
    </row>
    <row r="356" customFormat="false" ht="15" hidden="false" customHeight="false" outlineLevel="0" collapsed="false">
      <c r="A356" s="49" t="str">
        <f aca="false">IF(B356="","",ROW()-4)</f>
        <v/>
      </c>
      <c r="B356" s="50"/>
      <c r="C356" s="50"/>
      <c r="D356" s="50"/>
      <c r="E356" s="51"/>
      <c r="F356" s="51"/>
      <c r="G356" s="51"/>
      <c r="H356" s="52"/>
      <c r="I356" s="53"/>
      <c r="J356" s="54"/>
      <c r="K356" s="53"/>
      <c r="L356" s="54"/>
      <c r="M356" s="55" t="str">
        <f aca="false">IF(L356="","",L356-J356)</f>
        <v/>
      </c>
      <c r="N356" s="56" t="str">
        <f aca="true">IF(I356="","",IF(K356&lt;&gt;"","PAGO",IF(I356&lt;TODAY(),"VENCIDO",IF(I356=TODAY(),"VENCE HOJE","A VENCER"))))</f>
        <v/>
      </c>
      <c r="O356" s="57" t="str">
        <f aca="true">IF(OR(I356="",K356&lt;&gt;""),"",I356-TODAY())</f>
        <v/>
      </c>
      <c r="P356" s="51"/>
      <c r="Q356" s="51"/>
      <c r="R356" s="51"/>
      <c r="S356" s="50"/>
      <c r="T356" s="50"/>
      <c r="U356" s="52"/>
      <c r="V356" s="58" t="n">
        <f aca="false">IF(OR(B356="",I356="",F356="",F356=Cadastros!$E$4,F356=Cadastros!$E$9),999999,IF(COUNTIFS($B$5:$B$504,B356,$I$5:$I$504,"&gt;"&amp;I356)=0,YEAR(I356)*12+MONTH(I356),999999))</f>
        <v>999999</v>
      </c>
      <c r="W356" s="58" t="n">
        <f aca="false">IF(U356="",999999,YEAR(U356)*12+MONTH(U356))</f>
        <v>999999</v>
      </c>
      <c r="X356" s="58" t="n">
        <f aca="false">IF(F356=Cadastros!$E$6,3,IF(F356=Cadastros!$E$7,6,IF(F356=Cadastros!$E$8,12,1)))</f>
        <v>1</v>
      </c>
    </row>
    <row r="357" customFormat="false" ht="15" hidden="false" customHeight="false" outlineLevel="0" collapsed="false">
      <c r="A357" s="49" t="str">
        <f aca="false">IF(B357="","",ROW()-4)</f>
        <v/>
      </c>
      <c r="B357" s="50"/>
      <c r="C357" s="50"/>
      <c r="D357" s="50"/>
      <c r="E357" s="51"/>
      <c r="F357" s="51"/>
      <c r="G357" s="51"/>
      <c r="H357" s="52"/>
      <c r="I357" s="53"/>
      <c r="J357" s="54"/>
      <c r="K357" s="53"/>
      <c r="L357" s="54"/>
      <c r="M357" s="55" t="str">
        <f aca="false">IF(L357="","",L357-J357)</f>
        <v/>
      </c>
      <c r="N357" s="56" t="str">
        <f aca="true">IF(I357="","",IF(K357&lt;&gt;"","PAGO",IF(I357&lt;TODAY(),"VENCIDO",IF(I357=TODAY(),"VENCE HOJE","A VENCER"))))</f>
        <v/>
      </c>
      <c r="O357" s="57" t="str">
        <f aca="true">IF(OR(I357="",K357&lt;&gt;""),"",I357-TODAY())</f>
        <v/>
      </c>
      <c r="P357" s="51"/>
      <c r="Q357" s="51"/>
      <c r="R357" s="51"/>
      <c r="S357" s="50"/>
      <c r="T357" s="50"/>
      <c r="U357" s="52"/>
      <c r="V357" s="58" t="n">
        <f aca="false">IF(OR(B357="",I357="",F357="",F357=Cadastros!$E$4,F357=Cadastros!$E$9),999999,IF(COUNTIFS($B$5:$B$504,B357,$I$5:$I$504,"&gt;"&amp;I357)=0,YEAR(I357)*12+MONTH(I357),999999))</f>
        <v>999999</v>
      </c>
      <c r="W357" s="58" t="n">
        <f aca="false">IF(U357="",999999,YEAR(U357)*12+MONTH(U357))</f>
        <v>999999</v>
      </c>
      <c r="X357" s="58" t="n">
        <f aca="false">IF(F357=Cadastros!$E$6,3,IF(F357=Cadastros!$E$7,6,IF(F357=Cadastros!$E$8,12,1)))</f>
        <v>1</v>
      </c>
    </row>
    <row r="358" customFormat="false" ht="15" hidden="false" customHeight="false" outlineLevel="0" collapsed="false">
      <c r="A358" s="49" t="str">
        <f aca="false">IF(B358="","",ROW()-4)</f>
        <v/>
      </c>
      <c r="B358" s="50"/>
      <c r="C358" s="50"/>
      <c r="D358" s="50"/>
      <c r="E358" s="51"/>
      <c r="F358" s="51"/>
      <c r="G358" s="51"/>
      <c r="H358" s="52"/>
      <c r="I358" s="53"/>
      <c r="J358" s="54"/>
      <c r="K358" s="53"/>
      <c r="L358" s="54"/>
      <c r="M358" s="55" t="str">
        <f aca="false">IF(L358="","",L358-J358)</f>
        <v/>
      </c>
      <c r="N358" s="56" t="str">
        <f aca="true">IF(I358="","",IF(K358&lt;&gt;"","PAGO",IF(I358&lt;TODAY(),"VENCIDO",IF(I358=TODAY(),"VENCE HOJE","A VENCER"))))</f>
        <v/>
      </c>
      <c r="O358" s="57" t="str">
        <f aca="true">IF(OR(I358="",K358&lt;&gt;""),"",I358-TODAY())</f>
        <v/>
      </c>
      <c r="P358" s="51"/>
      <c r="Q358" s="51"/>
      <c r="R358" s="51"/>
      <c r="S358" s="50"/>
      <c r="T358" s="50"/>
      <c r="U358" s="52"/>
      <c r="V358" s="58" t="n">
        <f aca="false">IF(OR(B358="",I358="",F358="",F358=Cadastros!$E$4,F358=Cadastros!$E$9),999999,IF(COUNTIFS($B$5:$B$504,B358,$I$5:$I$504,"&gt;"&amp;I358)=0,YEAR(I358)*12+MONTH(I358),999999))</f>
        <v>999999</v>
      </c>
      <c r="W358" s="58" t="n">
        <f aca="false">IF(U358="",999999,YEAR(U358)*12+MONTH(U358))</f>
        <v>999999</v>
      </c>
      <c r="X358" s="58" t="n">
        <f aca="false">IF(F358=Cadastros!$E$6,3,IF(F358=Cadastros!$E$7,6,IF(F358=Cadastros!$E$8,12,1)))</f>
        <v>1</v>
      </c>
    </row>
    <row r="359" customFormat="false" ht="15" hidden="false" customHeight="false" outlineLevel="0" collapsed="false">
      <c r="A359" s="49" t="str">
        <f aca="false">IF(B359="","",ROW()-4)</f>
        <v/>
      </c>
      <c r="B359" s="50"/>
      <c r="C359" s="50"/>
      <c r="D359" s="50"/>
      <c r="E359" s="51"/>
      <c r="F359" s="51"/>
      <c r="G359" s="51"/>
      <c r="H359" s="52"/>
      <c r="I359" s="53"/>
      <c r="J359" s="54"/>
      <c r="K359" s="53"/>
      <c r="L359" s="54"/>
      <c r="M359" s="55" t="str">
        <f aca="false">IF(L359="","",L359-J359)</f>
        <v/>
      </c>
      <c r="N359" s="56" t="str">
        <f aca="true">IF(I359="","",IF(K359&lt;&gt;"","PAGO",IF(I359&lt;TODAY(),"VENCIDO",IF(I359=TODAY(),"VENCE HOJE","A VENCER"))))</f>
        <v/>
      </c>
      <c r="O359" s="57" t="str">
        <f aca="true">IF(OR(I359="",K359&lt;&gt;""),"",I359-TODAY())</f>
        <v/>
      </c>
      <c r="P359" s="51"/>
      <c r="Q359" s="51"/>
      <c r="R359" s="51"/>
      <c r="S359" s="50"/>
      <c r="T359" s="50"/>
      <c r="U359" s="52"/>
      <c r="V359" s="58" t="n">
        <f aca="false">IF(OR(B359="",I359="",F359="",F359=Cadastros!$E$4,F359=Cadastros!$E$9),999999,IF(COUNTIFS($B$5:$B$504,B359,$I$5:$I$504,"&gt;"&amp;I359)=0,YEAR(I359)*12+MONTH(I359),999999))</f>
        <v>999999</v>
      </c>
      <c r="W359" s="58" t="n">
        <f aca="false">IF(U359="",999999,YEAR(U359)*12+MONTH(U359))</f>
        <v>999999</v>
      </c>
      <c r="X359" s="58" t="n">
        <f aca="false">IF(F359=Cadastros!$E$6,3,IF(F359=Cadastros!$E$7,6,IF(F359=Cadastros!$E$8,12,1)))</f>
        <v>1</v>
      </c>
    </row>
    <row r="360" customFormat="false" ht="15" hidden="false" customHeight="false" outlineLevel="0" collapsed="false">
      <c r="A360" s="49" t="str">
        <f aca="false">IF(B360="","",ROW()-4)</f>
        <v/>
      </c>
      <c r="B360" s="50"/>
      <c r="C360" s="50"/>
      <c r="D360" s="50"/>
      <c r="E360" s="51"/>
      <c r="F360" s="51"/>
      <c r="G360" s="51"/>
      <c r="H360" s="52"/>
      <c r="I360" s="53"/>
      <c r="J360" s="54"/>
      <c r="K360" s="53"/>
      <c r="L360" s="54"/>
      <c r="M360" s="55" t="str">
        <f aca="false">IF(L360="","",L360-J360)</f>
        <v/>
      </c>
      <c r="N360" s="56" t="str">
        <f aca="true">IF(I360="","",IF(K360&lt;&gt;"","PAGO",IF(I360&lt;TODAY(),"VENCIDO",IF(I360=TODAY(),"VENCE HOJE","A VENCER"))))</f>
        <v/>
      </c>
      <c r="O360" s="57" t="str">
        <f aca="true">IF(OR(I360="",K360&lt;&gt;""),"",I360-TODAY())</f>
        <v/>
      </c>
      <c r="P360" s="51"/>
      <c r="Q360" s="51"/>
      <c r="R360" s="51"/>
      <c r="S360" s="50"/>
      <c r="T360" s="50"/>
      <c r="U360" s="52"/>
      <c r="V360" s="58" t="n">
        <f aca="false">IF(OR(B360="",I360="",F360="",F360=Cadastros!$E$4,F360=Cadastros!$E$9),999999,IF(COUNTIFS($B$5:$B$504,B360,$I$5:$I$504,"&gt;"&amp;I360)=0,YEAR(I360)*12+MONTH(I360),999999))</f>
        <v>999999</v>
      </c>
      <c r="W360" s="58" t="n">
        <f aca="false">IF(U360="",999999,YEAR(U360)*12+MONTH(U360))</f>
        <v>999999</v>
      </c>
      <c r="X360" s="58" t="n">
        <f aca="false">IF(F360=Cadastros!$E$6,3,IF(F360=Cadastros!$E$7,6,IF(F360=Cadastros!$E$8,12,1)))</f>
        <v>1</v>
      </c>
    </row>
    <row r="361" customFormat="false" ht="15" hidden="false" customHeight="false" outlineLevel="0" collapsed="false">
      <c r="A361" s="49" t="str">
        <f aca="false">IF(B361="","",ROW()-4)</f>
        <v/>
      </c>
      <c r="B361" s="50"/>
      <c r="C361" s="50"/>
      <c r="D361" s="50"/>
      <c r="E361" s="51"/>
      <c r="F361" s="51"/>
      <c r="G361" s="51"/>
      <c r="H361" s="52"/>
      <c r="I361" s="53"/>
      <c r="J361" s="54"/>
      <c r="K361" s="53"/>
      <c r="L361" s="54"/>
      <c r="M361" s="55" t="str">
        <f aca="false">IF(L361="","",L361-J361)</f>
        <v/>
      </c>
      <c r="N361" s="56" t="str">
        <f aca="true">IF(I361="","",IF(K361&lt;&gt;"","PAGO",IF(I361&lt;TODAY(),"VENCIDO",IF(I361=TODAY(),"VENCE HOJE","A VENCER"))))</f>
        <v/>
      </c>
      <c r="O361" s="57" t="str">
        <f aca="true">IF(OR(I361="",K361&lt;&gt;""),"",I361-TODAY())</f>
        <v/>
      </c>
      <c r="P361" s="51"/>
      <c r="Q361" s="51"/>
      <c r="R361" s="51"/>
      <c r="S361" s="50"/>
      <c r="T361" s="50"/>
      <c r="U361" s="52"/>
      <c r="V361" s="58" t="n">
        <f aca="false">IF(OR(B361="",I361="",F361="",F361=Cadastros!$E$4,F361=Cadastros!$E$9),999999,IF(COUNTIFS($B$5:$B$504,B361,$I$5:$I$504,"&gt;"&amp;I361)=0,YEAR(I361)*12+MONTH(I361),999999))</f>
        <v>999999</v>
      </c>
      <c r="W361" s="58" t="n">
        <f aca="false">IF(U361="",999999,YEAR(U361)*12+MONTH(U361))</f>
        <v>999999</v>
      </c>
      <c r="X361" s="58" t="n">
        <f aca="false">IF(F361=Cadastros!$E$6,3,IF(F361=Cadastros!$E$7,6,IF(F361=Cadastros!$E$8,12,1)))</f>
        <v>1</v>
      </c>
    </row>
    <row r="362" customFormat="false" ht="15" hidden="false" customHeight="false" outlineLevel="0" collapsed="false">
      <c r="A362" s="49" t="str">
        <f aca="false">IF(B362="","",ROW()-4)</f>
        <v/>
      </c>
      <c r="B362" s="50"/>
      <c r="C362" s="50"/>
      <c r="D362" s="50"/>
      <c r="E362" s="51"/>
      <c r="F362" s="51"/>
      <c r="G362" s="51"/>
      <c r="H362" s="52"/>
      <c r="I362" s="53"/>
      <c r="J362" s="54"/>
      <c r="K362" s="53"/>
      <c r="L362" s="54"/>
      <c r="M362" s="55" t="str">
        <f aca="false">IF(L362="","",L362-J362)</f>
        <v/>
      </c>
      <c r="N362" s="56" t="str">
        <f aca="true">IF(I362="","",IF(K362&lt;&gt;"","PAGO",IF(I362&lt;TODAY(),"VENCIDO",IF(I362=TODAY(),"VENCE HOJE","A VENCER"))))</f>
        <v/>
      </c>
      <c r="O362" s="57" t="str">
        <f aca="true">IF(OR(I362="",K362&lt;&gt;""),"",I362-TODAY())</f>
        <v/>
      </c>
      <c r="P362" s="51"/>
      <c r="Q362" s="51"/>
      <c r="R362" s="51"/>
      <c r="S362" s="50"/>
      <c r="T362" s="50"/>
      <c r="U362" s="52"/>
      <c r="V362" s="58" t="n">
        <f aca="false">IF(OR(B362="",I362="",F362="",F362=Cadastros!$E$4,F362=Cadastros!$E$9),999999,IF(COUNTIFS($B$5:$B$504,B362,$I$5:$I$504,"&gt;"&amp;I362)=0,YEAR(I362)*12+MONTH(I362),999999))</f>
        <v>999999</v>
      </c>
      <c r="W362" s="58" t="n">
        <f aca="false">IF(U362="",999999,YEAR(U362)*12+MONTH(U362))</f>
        <v>999999</v>
      </c>
      <c r="X362" s="58" t="n">
        <f aca="false">IF(F362=Cadastros!$E$6,3,IF(F362=Cadastros!$E$7,6,IF(F362=Cadastros!$E$8,12,1)))</f>
        <v>1</v>
      </c>
    </row>
    <row r="363" customFormat="false" ht="15" hidden="false" customHeight="false" outlineLevel="0" collapsed="false">
      <c r="A363" s="49" t="str">
        <f aca="false">IF(B363="","",ROW()-4)</f>
        <v/>
      </c>
      <c r="B363" s="50"/>
      <c r="C363" s="50"/>
      <c r="D363" s="50"/>
      <c r="E363" s="51"/>
      <c r="F363" s="51"/>
      <c r="G363" s="51"/>
      <c r="H363" s="52"/>
      <c r="I363" s="53"/>
      <c r="J363" s="54"/>
      <c r="K363" s="53"/>
      <c r="L363" s="54"/>
      <c r="M363" s="55" t="str">
        <f aca="false">IF(L363="","",L363-J363)</f>
        <v/>
      </c>
      <c r="N363" s="56" t="str">
        <f aca="true">IF(I363="","",IF(K363&lt;&gt;"","PAGO",IF(I363&lt;TODAY(),"VENCIDO",IF(I363=TODAY(),"VENCE HOJE","A VENCER"))))</f>
        <v/>
      </c>
      <c r="O363" s="57" t="str">
        <f aca="true">IF(OR(I363="",K363&lt;&gt;""),"",I363-TODAY())</f>
        <v/>
      </c>
      <c r="P363" s="51"/>
      <c r="Q363" s="51"/>
      <c r="R363" s="51"/>
      <c r="S363" s="50"/>
      <c r="T363" s="50"/>
      <c r="U363" s="52"/>
      <c r="V363" s="58" t="n">
        <f aca="false">IF(OR(B363="",I363="",F363="",F363=Cadastros!$E$4,F363=Cadastros!$E$9),999999,IF(COUNTIFS($B$5:$B$504,B363,$I$5:$I$504,"&gt;"&amp;I363)=0,YEAR(I363)*12+MONTH(I363),999999))</f>
        <v>999999</v>
      </c>
      <c r="W363" s="58" t="n">
        <f aca="false">IF(U363="",999999,YEAR(U363)*12+MONTH(U363))</f>
        <v>999999</v>
      </c>
      <c r="X363" s="58" t="n">
        <f aca="false">IF(F363=Cadastros!$E$6,3,IF(F363=Cadastros!$E$7,6,IF(F363=Cadastros!$E$8,12,1)))</f>
        <v>1</v>
      </c>
    </row>
    <row r="364" customFormat="false" ht="15" hidden="false" customHeight="false" outlineLevel="0" collapsed="false">
      <c r="A364" s="49" t="str">
        <f aca="false">IF(B364="","",ROW()-4)</f>
        <v/>
      </c>
      <c r="B364" s="50"/>
      <c r="C364" s="50"/>
      <c r="D364" s="50"/>
      <c r="E364" s="51"/>
      <c r="F364" s="51"/>
      <c r="G364" s="51"/>
      <c r="H364" s="52"/>
      <c r="I364" s="53"/>
      <c r="J364" s="54"/>
      <c r="K364" s="53"/>
      <c r="L364" s="54"/>
      <c r="M364" s="55" t="str">
        <f aca="false">IF(L364="","",L364-J364)</f>
        <v/>
      </c>
      <c r="N364" s="56" t="str">
        <f aca="true">IF(I364="","",IF(K364&lt;&gt;"","PAGO",IF(I364&lt;TODAY(),"VENCIDO",IF(I364=TODAY(),"VENCE HOJE","A VENCER"))))</f>
        <v/>
      </c>
      <c r="O364" s="57" t="str">
        <f aca="true">IF(OR(I364="",K364&lt;&gt;""),"",I364-TODAY())</f>
        <v/>
      </c>
      <c r="P364" s="51"/>
      <c r="Q364" s="51"/>
      <c r="R364" s="51"/>
      <c r="S364" s="50"/>
      <c r="T364" s="50"/>
      <c r="U364" s="52"/>
      <c r="V364" s="58" t="n">
        <f aca="false">IF(OR(B364="",I364="",F364="",F364=Cadastros!$E$4,F364=Cadastros!$E$9),999999,IF(COUNTIFS($B$5:$B$504,B364,$I$5:$I$504,"&gt;"&amp;I364)=0,YEAR(I364)*12+MONTH(I364),999999))</f>
        <v>999999</v>
      </c>
      <c r="W364" s="58" t="n">
        <f aca="false">IF(U364="",999999,YEAR(U364)*12+MONTH(U364))</f>
        <v>999999</v>
      </c>
      <c r="X364" s="58" t="n">
        <f aca="false">IF(F364=Cadastros!$E$6,3,IF(F364=Cadastros!$E$7,6,IF(F364=Cadastros!$E$8,12,1)))</f>
        <v>1</v>
      </c>
    </row>
    <row r="365" customFormat="false" ht="15" hidden="false" customHeight="false" outlineLevel="0" collapsed="false">
      <c r="A365" s="49" t="str">
        <f aca="false">IF(B365="","",ROW()-4)</f>
        <v/>
      </c>
      <c r="B365" s="50"/>
      <c r="C365" s="50"/>
      <c r="D365" s="50"/>
      <c r="E365" s="51"/>
      <c r="F365" s="51"/>
      <c r="G365" s="51"/>
      <c r="H365" s="52"/>
      <c r="I365" s="53"/>
      <c r="J365" s="54"/>
      <c r="K365" s="53"/>
      <c r="L365" s="54"/>
      <c r="M365" s="55" t="str">
        <f aca="false">IF(L365="","",L365-J365)</f>
        <v/>
      </c>
      <c r="N365" s="56" t="str">
        <f aca="true">IF(I365="","",IF(K365&lt;&gt;"","PAGO",IF(I365&lt;TODAY(),"VENCIDO",IF(I365=TODAY(),"VENCE HOJE","A VENCER"))))</f>
        <v/>
      </c>
      <c r="O365" s="57" t="str">
        <f aca="true">IF(OR(I365="",K365&lt;&gt;""),"",I365-TODAY())</f>
        <v/>
      </c>
      <c r="P365" s="51"/>
      <c r="Q365" s="51"/>
      <c r="R365" s="51"/>
      <c r="S365" s="50"/>
      <c r="T365" s="50"/>
      <c r="U365" s="52"/>
      <c r="V365" s="58" t="n">
        <f aca="false">IF(OR(B365="",I365="",F365="",F365=Cadastros!$E$4,F365=Cadastros!$E$9),999999,IF(COUNTIFS($B$5:$B$504,B365,$I$5:$I$504,"&gt;"&amp;I365)=0,YEAR(I365)*12+MONTH(I365),999999))</f>
        <v>999999</v>
      </c>
      <c r="W365" s="58" t="n">
        <f aca="false">IF(U365="",999999,YEAR(U365)*12+MONTH(U365))</f>
        <v>999999</v>
      </c>
      <c r="X365" s="58" t="n">
        <f aca="false">IF(F365=Cadastros!$E$6,3,IF(F365=Cadastros!$E$7,6,IF(F365=Cadastros!$E$8,12,1)))</f>
        <v>1</v>
      </c>
    </row>
    <row r="366" customFormat="false" ht="15" hidden="false" customHeight="false" outlineLevel="0" collapsed="false">
      <c r="A366" s="49" t="str">
        <f aca="false">IF(B366="","",ROW()-4)</f>
        <v/>
      </c>
      <c r="B366" s="50"/>
      <c r="C366" s="50"/>
      <c r="D366" s="50"/>
      <c r="E366" s="51"/>
      <c r="F366" s="51"/>
      <c r="G366" s="51"/>
      <c r="H366" s="52"/>
      <c r="I366" s="53"/>
      <c r="J366" s="54"/>
      <c r="K366" s="53"/>
      <c r="L366" s="54"/>
      <c r="M366" s="55" t="str">
        <f aca="false">IF(L366="","",L366-J366)</f>
        <v/>
      </c>
      <c r="N366" s="56" t="str">
        <f aca="true">IF(I366="","",IF(K366&lt;&gt;"","PAGO",IF(I366&lt;TODAY(),"VENCIDO",IF(I366=TODAY(),"VENCE HOJE","A VENCER"))))</f>
        <v/>
      </c>
      <c r="O366" s="57" t="str">
        <f aca="true">IF(OR(I366="",K366&lt;&gt;""),"",I366-TODAY())</f>
        <v/>
      </c>
      <c r="P366" s="51"/>
      <c r="Q366" s="51"/>
      <c r="R366" s="51"/>
      <c r="S366" s="50"/>
      <c r="T366" s="50"/>
      <c r="U366" s="52"/>
      <c r="V366" s="58" t="n">
        <f aca="false">IF(OR(B366="",I366="",F366="",F366=Cadastros!$E$4,F366=Cadastros!$E$9),999999,IF(COUNTIFS($B$5:$B$504,B366,$I$5:$I$504,"&gt;"&amp;I366)=0,YEAR(I366)*12+MONTH(I366),999999))</f>
        <v>999999</v>
      </c>
      <c r="W366" s="58" t="n">
        <f aca="false">IF(U366="",999999,YEAR(U366)*12+MONTH(U366))</f>
        <v>999999</v>
      </c>
      <c r="X366" s="58" t="n">
        <f aca="false">IF(F366=Cadastros!$E$6,3,IF(F366=Cadastros!$E$7,6,IF(F366=Cadastros!$E$8,12,1)))</f>
        <v>1</v>
      </c>
    </row>
    <row r="367" customFormat="false" ht="15" hidden="false" customHeight="false" outlineLevel="0" collapsed="false">
      <c r="A367" s="49" t="str">
        <f aca="false">IF(B367="","",ROW()-4)</f>
        <v/>
      </c>
      <c r="B367" s="50"/>
      <c r="C367" s="50"/>
      <c r="D367" s="50"/>
      <c r="E367" s="51"/>
      <c r="F367" s="51"/>
      <c r="G367" s="51"/>
      <c r="H367" s="52"/>
      <c r="I367" s="53"/>
      <c r="J367" s="54"/>
      <c r="K367" s="53"/>
      <c r="L367" s="54"/>
      <c r="M367" s="55" t="str">
        <f aca="false">IF(L367="","",L367-J367)</f>
        <v/>
      </c>
      <c r="N367" s="56" t="str">
        <f aca="true">IF(I367="","",IF(K367&lt;&gt;"","PAGO",IF(I367&lt;TODAY(),"VENCIDO",IF(I367=TODAY(),"VENCE HOJE","A VENCER"))))</f>
        <v/>
      </c>
      <c r="O367" s="57" t="str">
        <f aca="true">IF(OR(I367="",K367&lt;&gt;""),"",I367-TODAY())</f>
        <v/>
      </c>
      <c r="P367" s="51"/>
      <c r="Q367" s="51"/>
      <c r="R367" s="51"/>
      <c r="S367" s="50"/>
      <c r="T367" s="50"/>
      <c r="U367" s="52"/>
      <c r="V367" s="58" t="n">
        <f aca="false">IF(OR(B367="",I367="",F367="",F367=Cadastros!$E$4,F367=Cadastros!$E$9),999999,IF(COUNTIFS($B$5:$B$504,B367,$I$5:$I$504,"&gt;"&amp;I367)=0,YEAR(I367)*12+MONTH(I367),999999))</f>
        <v>999999</v>
      </c>
      <c r="W367" s="58" t="n">
        <f aca="false">IF(U367="",999999,YEAR(U367)*12+MONTH(U367))</f>
        <v>999999</v>
      </c>
      <c r="X367" s="58" t="n">
        <f aca="false">IF(F367=Cadastros!$E$6,3,IF(F367=Cadastros!$E$7,6,IF(F367=Cadastros!$E$8,12,1)))</f>
        <v>1</v>
      </c>
    </row>
    <row r="368" customFormat="false" ht="15" hidden="false" customHeight="false" outlineLevel="0" collapsed="false">
      <c r="A368" s="49" t="str">
        <f aca="false">IF(B368="","",ROW()-4)</f>
        <v/>
      </c>
      <c r="B368" s="50"/>
      <c r="C368" s="50"/>
      <c r="D368" s="50"/>
      <c r="E368" s="51"/>
      <c r="F368" s="51"/>
      <c r="G368" s="51"/>
      <c r="H368" s="52"/>
      <c r="I368" s="53"/>
      <c r="J368" s="54"/>
      <c r="K368" s="53"/>
      <c r="L368" s="54"/>
      <c r="M368" s="55" t="str">
        <f aca="false">IF(L368="","",L368-J368)</f>
        <v/>
      </c>
      <c r="N368" s="56" t="str">
        <f aca="true">IF(I368="","",IF(K368&lt;&gt;"","PAGO",IF(I368&lt;TODAY(),"VENCIDO",IF(I368=TODAY(),"VENCE HOJE","A VENCER"))))</f>
        <v/>
      </c>
      <c r="O368" s="57" t="str">
        <f aca="true">IF(OR(I368="",K368&lt;&gt;""),"",I368-TODAY())</f>
        <v/>
      </c>
      <c r="P368" s="51"/>
      <c r="Q368" s="51"/>
      <c r="R368" s="51"/>
      <c r="S368" s="50"/>
      <c r="T368" s="50"/>
      <c r="U368" s="52"/>
      <c r="V368" s="58" t="n">
        <f aca="false">IF(OR(B368="",I368="",F368="",F368=Cadastros!$E$4,F368=Cadastros!$E$9),999999,IF(COUNTIFS($B$5:$B$504,B368,$I$5:$I$504,"&gt;"&amp;I368)=0,YEAR(I368)*12+MONTH(I368),999999))</f>
        <v>999999</v>
      </c>
      <c r="W368" s="58" t="n">
        <f aca="false">IF(U368="",999999,YEAR(U368)*12+MONTH(U368))</f>
        <v>999999</v>
      </c>
      <c r="X368" s="58" t="n">
        <f aca="false">IF(F368=Cadastros!$E$6,3,IF(F368=Cadastros!$E$7,6,IF(F368=Cadastros!$E$8,12,1)))</f>
        <v>1</v>
      </c>
    </row>
    <row r="369" customFormat="false" ht="15" hidden="false" customHeight="false" outlineLevel="0" collapsed="false">
      <c r="A369" s="49" t="str">
        <f aca="false">IF(B369="","",ROW()-4)</f>
        <v/>
      </c>
      <c r="B369" s="50"/>
      <c r="C369" s="50"/>
      <c r="D369" s="50"/>
      <c r="E369" s="51"/>
      <c r="F369" s="51"/>
      <c r="G369" s="51"/>
      <c r="H369" s="52"/>
      <c r="I369" s="53"/>
      <c r="J369" s="54"/>
      <c r="K369" s="53"/>
      <c r="L369" s="54"/>
      <c r="M369" s="55" t="str">
        <f aca="false">IF(L369="","",L369-J369)</f>
        <v/>
      </c>
      <c r="N369" s="56" t="str">
        <f aca="true">IF(I369="","",IF(K369&lt;&gt;"","PAGO",IF(I369&lt;TODAY(),"VENCIDO",IF(I369=TODAY(),"VENCE HOJE","A VENCER"))))</f>
        <v/>
      </c>
      <c r="O369" s="57" t="str">
        <f aca="true">IF(OR(I369="",K369&lt;&gt;""),"",I369-TODAY())</f>
        <v/>
      </c>
      <c r="P369" s="51"/>
      <c r="Q369" s="51"/>
      <c r="R369" s="51"/>
      <c r="S369" s="50"/>
      <c r="T369" s="50"/>
      <c r="U369" s="52"/>
      <c r="V369" s="58" t="n">
        <f aca="false">IF(OR(B369="",I369="",F369="",F369=Cadastros!$E$4,F369=Cadastros!$E$9),999999,IF(COUNTIFS($B$5:$B$504,B369,$I$5:$I$504,"&gt;"&amp;I369)=0,YEAR(I369)*12+MONTH(I369),999999))</f>
        <v>999999</v>
      </c>
      <c r="W369" s="58" t="n">
        <f aca="false">IF(U369="",999999,YEAR(U369)*12+MONTH(U369))</f>
        <v>999999</v>
      </c>
      <c r="X369" s="58" t="n">
        <f aca="false">IF(F369=Cadastros!$E$6,3,IF(F369=Cadastros!$E$7,6,IF(F369=Cadastros!$E$8,12,1)))</f>
        <v>1</v>
      </c>
    </row>
    <row r="370" customFormat="false" ht="15" hidden="false" customHeight="false" outlineLevel="0" collapsed="false">
      <c r="A370" s="49" t="str">
        <f aca="false">IF(B370="","",ROW()-4)</f>
        <v/>
      </c>
      <c r="B370" s="50"/>
      <c r="C370" s="50"/>
      <c r="D370" s="50"/>
      <c r="E370" s="51"/>
      <c r="F370" s="51"/>
      <c r="G370" s="51"/>
      <c r="H370" s="52"/>
      <c r="I370" s="53"/>
      <c r="J370" s="54"/>
      <c r="K370" s="53"/>
      <c r="L370" s="54"/>
      <c r="M370" s="55" t="str">
        <f aca="false">IF(L370="","",L370-J370)</f>
        <v/>
      </c>
      <c r="N370" s="56" t="str">
        <f aca="true">IF(I370="","",IF(K370&lt;&gt;"","PAGO",IF(I370&lt;TODAY(),"VENCIDO",IF(I370=TODAY(),"VENCE HOJE","A VENCER"))))</f>
        <v/>
      </c>
      <c r="O370" s="57" t="str">
        <f aca="true">IF(OR(I370="",K370&lt;&gt;""),"",I370-TODAY())</f>
        <v/>
      </c>
      <c r="P370" s="51"/>
      <c r="Q370" s="51"/>
      <c r="R370" s="51"/>
      <c r="S370" s="50"/>
      <c r="T370" s="50"/>
      <c r="U370" s="52"/>
      <c r="V370" s="58" t="n">
        <f aca="false">IF(OR(B370="",I370="",F370="",F370=Cadastros!$E$4,F370=Cadastros!$E$9),999999,IF(COUNTIFS($B$5:$B$504,B370,$I$5:$I$504,"&gt;"&amp;I370)=0,YEAR(I370)*12+MONTH(I370),999999))</f>
        <v>999999</v>
      </c>
      <c r="W370" s="58" t="n">
        <f aca="false">IF(U370="",999999,YEAR(U370)*12+MONTH(U370))</f>
        <v>999999</v>
      </c>
      <c r="X370" s="58" t="n">
        <f aca="false">IF(F370=Cadastros!$E$6,3,IF(F370=Cadastros!$E$7,6,IF(F370=Cadastros!$E$8,12,1)))</f>
        <v>1</v>
      </c>
    </row>
    <row r="371" customFormat="false" ht="15" hidden="false" customHeight="false" outlineLevel="0" collapsed="false">
      <c r="A371" s="49" t="str">
        <f aca="false">IF(B371="","",ROW()-4)</f>
        <v/>
      </c>
      <c r="B371" s="50"/>
      <c r="C371" s="50"/>
      <c r="D371" s="50"/>
      <c r="E371" s="51"/>
      <c r="F371" s="51"/>
      <c r="G371" s="51"/>
      <c r="H371" s="52"/>
      <c r="I371" s="53"/>
      <c r="J371" s="54"/>
      <c r="K371" s="53"/>
      <c r="L371" s="54"/>
      <c r="M371" s="55" t="str">
        <f aca="false">IF(L371="","",L371-J371)</f>
        <v/>
      </c>
      <c r="N371" s="56" t="str">
        <f aca="true">IF(I371="","",IF(K371&lt;&gt;"","PAGO",IF(I371&lt;TODAY(),"VENCIDO",IF(I371=TODAY(),"VENCE HOJE","A VENCER"))))</f>
        <v/>
      </c>
      <c r="O371" s="57" t="str">
        <f aca="true">IF(OR(I371="",K371&lt;&gt;""),"",I371-TODAY())</f>
        <v/>
      </c>
      <c r="P371" s="51"/>
      <c r="Q371" s="51"/>
      <c r="R371" s="51"/>
      <c r="S371" s="50"/>
      <c r="T371" s="50"/>
      <c r="U371" s="52"/>
      <c r="V371" s="58" t="n">
        <f aca="false">IF(OR(B371="",I371="",F371="",F371=Cadastros!$E$4,F371=Cadastros!$E$9),999999,IF(COUNTIFS($B$5:$B$504,B371,$I$5:$I$504,"&gt;"&amp;I371)=0,YEAR(I371)*12+MONTH(I371),999999))</f>
        <v>999999</v>
      </c>
      <c r="W371" s="58" t="n">
        <f aca="false">IF(U371="",999999,YEAR(U371)*12+MONTH(U371))</f>
        <v>999999</v>
      </c>
      <c r="X371" s="58" t="n">
        <f aca="false">IF(F371=Cadastros!$E$6,3,IF(F371=Cadastros!$E$7,6,IF(F371=Cadastros!$E$8,12,1)))</f>
        <v>1</v>
      </c>
    </row>
    <row r="372" customFormat="false" ht="15" hidden="false" customHeight="false" outlineLevel="0" collapsed="false">
      <c r="A372" s="49" t="str">
        <f aca="false">IF(B372="","",ROW()-4)</f>
        <v/>
      </c>
      <c r="B372" s="50"/>
      <c r="C372" s="50"/>
      <c r="D372" s="50"/>
      <c r="E372" s="51"/>
      <c r="F372" s="51"/>
      <c r="G372" s="51"/>
      <c r="H372" s="52"/>
      <c r="I372" s="53"/>
      <c r="J372" s="54"/>
      <c r="K372" s="53"/>
      <c r="L372" s="54"/>
      <c r="M372" s="55" t="str">
        <f aca="false">IF(L372="","",L372-J372)</f>
        <v/>
      </c>
      <c r="N372" s="56" t="str">
        <f aca="true">IF(I372="","",IF(K372&lt;&gt;"","PAGO",IF(I372&lt;TODAY(),"VENCIDO",IF(I372=TODAY(),"VENCE HOJE","A VENCER"))))</f>
        <v/>
      </c>
      <c r="O372" s="57" t="str">
        <f aca="true">IF(OR(I372="",K372&lt;&gt;""),"",I372-TODAY())</f>
        <v/>
      </c>
      <c r="P372" s="51"/>
      <c r="Q372" s="51"/>
      <c r="R372" s="51"/>
      <c r="S372" s="50"/>
      <c r="T372" s="50"/>
      <c r="U372" s="52"/>
      <c r="V372" s="58" t="n">
        <f aca="false">IF(OR(B372="",I372="",F372="",F372=Cadastros!$E$4,F372=Cadastros!$E$9),999999,IF(COUNTIFS($B$5:$B$504,B372,$I$5:$I$504,"&gt;"&amp;I372)=0,YEAR(I372)*12+MONTH(I372),999999))</f>
        <v>999999</v>
      </c>
      <c r="W372" s="58" t="n">
        <f aca="false">IF(U372="",999999,YEAR(U372)*12+MONTH(U372))</f>
        <v>999999</v>
      </c>
      <c r="X372" s="58" t="n">
        <f aca="false">IF(F372=Cadastros!$E$6,3,IF(F372=Cadastros!$E$7,6,IF(F372=Cadastros!$E$8,12,1)))</f>
        <v>1</v>
      </c>
    </row>
    <row r="373" customFormat="false" ht="15" hidden="false" customHeight="false" outlineLevel="0" collapsed="false">
      <c r="A373" s="49" t="str">
        <f aca="false">IF(B373="","",ROW()-4)</f>
        <v/>
      </c>
      <c r="B373" s="50"/>
      <c r="C373" s="50"/>
      <c r="D373" s="50"/>
      <c r="E373" s="51"/>
      <c r="F373" s="51"/>
      <c r="G373" s="51"/>
      <c r="H373" s="52"/>
      <c r="I373" s="53"/>
      <c r="J373" s="54"/>
      <c r="K373" s="53"/>
      <c r="L373" s="54"/>
      <c r="M373" s="55" t="str">
        <f aca="false">IF(L373="","",L373-J373)</f>
        <v/>
      </c>
      <c r="N373" s="56" t="str">
        <f aca="true">IF(I373="","",IF(K373&lt;&gt;"","PAGO",IF(I373&lt;TODAY(),"VENCIDO",IF(I373=TODAY(),"VENCE HOJE","A VENCER"))))</f>
        <v/>
      </c>
      <c r="O373" s="57" t="str">
        <f aca="true">IF(OR(I373="",K373&lt;&gt;""),"",I373-TODAY())</f>
        <v/>
      </c>
      <c r="P373" s="51"/>
      <c r="Q373" s="51"/>
      <c r="R373" s="51"/>
      <c r="S373" s="50"/>
      <c r="T373" s="50"/>
      <c r="U373" s="52"/>
      <c r="V373" s="58" t="n">
        <f aca="false">IF(OR(B373="",I373="",F373="",F373=Cadastros!$E$4,F373=Cadastros!$E$9),999999,IF(COUNTIFS($B$5:$B$504,B373,$I$5:$I$504,"&gt;"&amp;I373)=0,YEAR(I373)*12+MONTH(I373),999999))</f>
        <v>999999</v>
      </c>
      <c r="W373" s="58" t="n">
        <f aca="false">IF(U373="",999999,YEAR(U373)*12+MONTH(U373))</f>
        <v>999999</v>
      </c>
      <c r="X373" s="58" t="n">
        <f aca="false">IF(F373=Cadastros!$E$6,3,IF(F373=Cadastros!$E$7,6,IF(F373=Cadastros!$E$8,12,1)))</f>
        <v>1</v>
      </c>
    </row>
    <row r="374" customFormat="false" ht="15" hidden="false" customHeight="false" outlineLevel="0" collapsed="false">
      <c r="A374" s="49" t="str">
        <f aca="false">IF(B374="","",ROW()-4)</f>
        <v/>
      </c>
      <c r="B374" s="50"/>
      <c r="C374" s="50"/>
      <c r="D374" s="50"/>
      <c r="E374" s="51"/>
      <c r="F374" s="51"/>
      <c r="G374" s="51"/>
      <c r="H374" s="52"/>
      <c r="I374" s="53"/>
      <c r="J374" s="54"/>
      <c r="K374" s="53"/>
      <c r="L374" s="54"/>
      <c r="M374" s="55" t="str">
        <f aca="false">IF(L374="","",L374-J374)</f>
        <v/>
      </c>
      <c r="N374" s="56" t="str">
        <f aca="true">IF(I374="","",IF(K374&lt;&gt;"","PAGO",IF(I374&lt;TODAY(),"VENCIDO",IF(I374=TODAY(),"VENCE HOJE","A VENCER"))))</f>
        <v/>
      </c>
      <c r="O374" s="57" t="str">
        <f aca="true">IF(OR(I374="",K374&lt;&gt;""),"",I374-TODAY())</f>
        <v/>
      </c>
      <c r="P374" s="51"/>
      <c r="Q374" s="51"/>
      <c r="R374" s="51"/>
      <c r="S374" s="50"/>
      <c r="T374" s="50"/>
      <c r="U374" s="52"/>
      <c r="V374" s="58" t="n">
        <f aca="false">IF(OR(B374="",I374="",F374="",F374=Cadastros!$E$4,F374=Cadastros!$E$9),999999,IF(COUNTIFS($B$5:$B$504,B374,$I$5:$I$504,"&gt;"&amp;I374)=0,YEAR(I374)*12+MONTH(I374),999999))</f>
        <v>999999</v>
      </c>
      <c r="W374" s="58" t="n">
        <f aca="false">IF(U374="",999999,YEAR(U374)*12+MONTH(U374))</f>
        <v>999999</v>
      </c>
      <c r="X374" s="58" t="n">
        <f aca="false">IF(F374=Cadastros!$E$6,3,IF(F374=Cadastros!$E$7,6,IF(F374=Cadastros!$E$8,12,1)))</f>
        <v>1</v>
      </c>
    </row>
    <row r="375" customFormat="false" ht="15" hidden="false" customHeight="false" outlineLevel="0" collapsed="false">
      <c r="A375" s="49" t="str">
        <f aca="false">IF(B375="","",ROW()-4)</f>
        <v/>
      </c>
      <c r="B375" s="50"/>
      <c r="C375" s="50"/>
      <c r="D375" s="50"/>
      <c r="E375" s="51"/>
      <c r="F375" s="51"/>
      <c r="G375" s="51"/>
      <c r="H375" s="52"/>
      <c r="I375" s="53"/>
      <c r="J375" s="54"/>
      <c r="K375" s="53"/>
      <c r="L375" s="54"/>
      <c r="M375" s="55" t="str">
        <f aca="false">IF(L375="","",L375-J375)</f>
        <v/>
      </c>
      <c r="N375" s="56" t="str">
        <f aca="true">IF(I375="","",IF(K375&lt;&gt;"","PAGO",IF(I375&lt;TODAY(),"VENCIDO",IF(I375=TODAY(),"VENCE HOJE","A VENCER"))))</f>
        <v/>
      </c>
      <c r="O375" s="57" t="str">
        <f aca="true">IF(OR(I375="",K375&lt;&gt;""),"",I375-TODAY())</f>
        <v/>
      </c>
      <c r="P375" s="51"/>
      <c r="Q375" s="51"/>
      <c r="R375" s="51"/>
      <c r="S375" s="50"/>
      <c r="T375" s="50"/>
      <c r="U375" s="52"/>
      <c r="V375" s="58" t="n">
        <f aca="false">IF(OR(B375="",I375="",F375="",F375=Cadastros!$E$4,F375=Cadastros!$E$9),999999,IF(COUNTIFS($B$5:$B$504,B375,$I$5:$I$504,"&gt;"&amp;I375)=0,YEAR(I375)*12+MONTH(I375),999999))</f>
        <v>999999</v>
      </c>
      <c r="W375" s="58" t="n">
        <f aca="false">IF(U375="",999999,YEAR(U375)*12+MONTH(U375))</f>
        <v>999999</v>
      </c>
      <c r="X375" s="58" t="n">
        <f aca="false">IF(F375=Cadastros!$E$6,3,IF(F375=Cadastros!$E$7,6,IF(F375=Cadastros!$E$8,12,1)))</f>
        <v>1</v>
      </c>
    </row>
    <row r="376" customFormat="false" ht="15" hidden="false" customHeight="false" outlineLevel="0" collapsed="false">
      <c r="A376" s="49" t="str">
        <f aca="false">IF(B376="","",ROW()-4)</f>
        <v/>
      </c>
      <c r="B376" s="50"/>
      <c r="C376" s="50"/>
      <c r="D376" s="50"/>
      <c r="E376" s="51"/>
      <c r="F376" s="51"/>
      <c r="G376" s="51"/>
      <c r="H376" s="52"/>
      <c r="I376" s="53"/>
      <c r="J376" s="54"/>
      <c r="K376" s="53"/>
      <c r="L376" s="54"/>
      <c r="M376" s="55" t="str">
        <f aca="false">IF(L376="","",L376-J376)</f>
        <v/>
      </c>
      <c r="N376" s="56" t="str">
        <f aca="true">IF(I376="","",IF(K376&lt;&gt;"","PAGO",IF(I376&lt;TODAY(),"VENCIDO",IF(I376=TODAY(),"VENCE HOJE","A VENCER"))))</f>
        <v/>
      </c>
      <c r="O376" s="57" t="str">
        <f aca="true">IF(OR(I376="",K376&lt;&gt;""),"",I376-TODAY())</f>
        <v/>
      </c>
      <c r="P376" s="51"/>
      <c r="Q376" s="51"/>
      <c r="R376" s="51"/>
      <c r="S376" s="50"/>
      <c r="T376" s="50"/>
      <c r="U376" s="52"/>
      <c r="V376" s="58" t="n">
        <f aca="false">IF(OR(B376="",I376="",F376="",F376=Cadastros!$E$4,F376=Cadastros!$E$9),999999,IF(COUNTIFS($B$5:$B$504,B376,$I$5:$I$504,"&gt;"&amp;I376)=0,YEAR(I376)*12+MONTH(I376),999999))</f>
        <v>999999</v>
      </c>
      <c r="W376" s="58" t="n">
        <f aca="false">IF(U376="",999999,YEAR(U376)*12+MONTH(U376))</f>
        <v>999999</v>
      </c>
      <c r="X376" s="58" t="n">
        <f aca="false">IF(F376=Cadastros!$E$6,3,IF(F376=Cadastros!$E$7,6,IF(F376=Cadastros!$E$8,12,1)))</f>
        <v>1</v>
      </c>
    </row>
    <row r="377" customFormat="false" ht="15" hidden="false" customHeight="false" outlineLevel="0" collapsed="false">
      <c r="A377" s="49" t="str">
        <f aca="false">IF(B377="","",ROW()-4)</f>
        <v/>
      </c>
      <c r="B377" s="50"/>
      <c r="C377" s="50"/>
      <c r="D377" s="50"/>
      <c r="E377" s="51"/>
      <c r="F377" s="51"/>
      <c r="G377" s="51"/>
      <c r="H377" s="52"/>
      <c r="I377" s="53"/>
      <c r="J377" s="54"/>
      <c r="K377" s="53"/>
      <c r="L377" s="54"/>
      <c r="M377" s="55" t="str">
        <f aca="false">IF(L377="","",L377-J377)</f>
        <v/>
      </c>
      <c r="N377" s="56" t="str">
        <f aca="true">IF(I377="","",IF(K377&lt;&gt;"","PAGO",IF(I377&lt;TODAY(),"VENCIDO",IF(I377=TODAY(),"VENCE HOJE","A VENCER"))))</f>
        <v/>
      </c>
      <c r="O377" s="57" t="str">
        <f aca="true">IF(OR(I377="",K377&lt;&gt;""),"",I377-TODAY())</f>
        <v/>
      </c>
      <c r="P377" s="51"/>
      <c r="Q377" s="51"/>
      <c r="R377" s="51"/>
      <c r="S377" s="50"/>
      <c r="T377" s="50"/>
      <c r="U377" s="52"/>
      <c r="V377" s="58" t="n">
        <f aca="false">IF(OR(B377="",I377="",F377="",F377=Cadastros!$E$4,F377=Cadastros!$E$9),999999,IF(COUNTIFS($B$5:$B$504,B377,$I$5:$I$504,"&gt;"&amp;I377)=0,YEAR(I377)*12+MONTH(I377),999999))</f>
        <v>999999</v>
      </c>
      <c r="W377" s="58" t="n">
        <f aca="false">IF(U377="",999999,YEAR(U377)*12+MONTH(U377))</f>
        <v>999999</v>
      </c>
      <c r="X377" s="58" t="n">
        <f aca="false">IF(F377=Cadastros!$E$6,3,IF(F377=Cadastros!$E$7,6,IF(F377=Cadastros!$E$8,12,1)))</f>
        <v>1</v>
      </c>
    </row>
    <row r="378" customFormat="false" ht="15" hidden="false" customHeight="false" outlineLevel="0" collapsed="false">
      <c r="A378" s="49" t="str">
        <f aca="false">IF(B378="","",ROW()-4)</f>
        <v/>
      </c>
      <c r="B378" s="50"/>
      <c r="C378" s="50"/>
      <c r="D378" s="50"/>
      <c r="E378" s="51"/>
      <c r="F378" s="51"/>
      <c r="G378" s="51"/>
      <c r="H378" s="52"/>
      <c r="I378" s="53"/>
      <c r="J378" s="54"/>
      <c r="K378" s="53"/>
      <c r="L378" s="54"/>
      <c r="M378" s="55" t="str">
        <f aca="false">IF(L378="","",L378-J378)</f>
        <v/>
      </c>
      <c r="N378" s="56" t="str">
        <f aca="true">IF(I378="","",IF(K378&lt;&gt;"","PAGO",IF(I378&lt;TODAY(),"VENCIDO",IF(I378=TODAY(),"VENCE HOJE","A VENCER"))))</f>
        <v/>
      </c>
      <c r="O378" s="57" t="str">
        <f aca="true">IF(OR(I378="",K378&lt;&gt;""),"",I378-TODAY())</f>
        <v/>
      </c>
      <c r="P378" s="51"/>
      <c r="Q378" s="51"/>
      <c r="R378" s="51"/>
      <c r="S378" s="50"/>
      <c r="T378" s="50"/>
      <c r="U378" s="52"/>
      <c r="V378" s="58" t="n">
        <f aca="false">IF(OR(B378="",I378="",F378="",F378=Cadastros!$E$4,F378=Cadastros!$E$9),999999,IF(COUNTIFS($B$5:$B$504,B378,$I$5:$I$504,"&gt;"&amp;I378)=0,YEAR(I378)*12+MONTH(I378),999999))</f>
        <v>999999</v>
      </c>
      <c r="W378" s="58" t="n">
        <f aca="false">IF(U378="",999999,YEAR(U378)*12+MONTH(U378))</f>
        <v>999999</v>
      </c>
      <c r="X378" s="58" t="n">
        <f aca="false">IF(F378=Cadastros!$E$6,3,IF(F378=Cadastros!$E$7,6,IF(F378=Cadastros!$E$8,12,1)))</f>
        <v>1</v>
      </c>
    </row>
    <row r="379" customFormat="false" ht="15" hidden="false" customHeight="false" outlineLevel="0" collapsed="false">
      <c r="A379" s="49" t="str">
        <f aca="false">IF(B379="","",ROW()-4)</f>
        <v/>
      </c>
      <c r="B379" s="50"/>
      <c r="C379" s="50"/>
      <c r="D379" s="50"/>
      <c r="E379" s="51"/>
      <c r="F379" s="51"/>
      <c r="G379" s="51"/>
      <c r="H379" s="52"/>
      <c r="I379" s="53"/>
      <c r="J379" s="54"/>
      <c r="K379" s="53"/>
      <c r="L379" s="54"/>
      <c r="M379" s="55" t="str">
        <f aca="false">IF(L379="","",L379-J379)</f>
        <v/>
      </c>
      <c r="N379" s="56" t="str">
        <f aca="true">IF(I379="","",IF(K379&lt;&gt;"","PAGO",IF(I379&lt;TODAY(),"VENCIDO",IF(I379=TODAY(),"VENCE HOJE","A VENCER"))))</f>
        <v/>
      </c>
      <c r="O379" s="57" t="str">
        <f aca="true">IF(OR(I379="",K379&lt;&gt;""),"",I379-TODAY())</f>
        <v/>
      </c>
      <c r="P379" s="51"/>
      <c r="Q379" s="51"/>
      <c r="R379" s="51"/>
      <c r="S379" s="50"/>
      <c r="T379" s="50"/>
      <c r="U379" s="52"/>
      <c r="V379" s="58" t="n">
        <f aca="false">IF(OR(B379="",I379="",F379="",F379=Cadastros!$E$4,F379=Cadastros!$E$9),999999,IF(COUNTIFS($B$5:$B$504,B379,$I$5:$I$504,"&gt;"&amp;I379)=0,YEAR(I379)*12+MONTH(I379),999999))</f>
        <v>999999</v>
      </c>
      <c r="W379" s="58" t="n">
        <f aca="false">IF(U379="",999999,YEAR(U379)*12+MONTH(U379))</f>
        <v>999999</v>
      </c>
      <c r="X379" s="58" t="n">
        <f aca="false">IF(F379=Cadastros!$E$6,3,IF(F379=Cadastros!$E$7,6,IF(F379=Cadastros!$E$8,12,1)))</f>
        <v>1</v>
      </c>
    </row>
    <row r="380" customFormat="false" ht="15" hidden="false" customHeight="false" outlineLevel="0" collapsed="false">
      <c r="A380" s="49" t="str">
        <f aca="false">IF(B380="","",ROW()-4)</f>
        <v/>
      </c>
      <c r="B380" s="50"/>
      <c r="C380" s="50"/>
      <c r="D380" s="50"/>
      <c r="E380" s="51"/>
      <c r="F380" s="51"/>
      <c r="G380" s="51"/>
      <c r="H380" s="52"/>
      <c r="I380" s="53"/>
      <c r="J380" s="54"/>
      <c r="K380" s="53"/>
      <c r="L380" s="54"/>
      <c r="M380" s="55" t="str">
        <f aca="false">IF(L380="","",L380-J380)</f>
        <v/>
      </c>
      <c r="N380" s="56" t="str">
        <f aca="true">IF(I380="","",IF(K380&lt;&gt;"","PAGO",IF(I380&lt;TODAY(),"VENCIDO",IF(I380=TODAY(),"VENCE HOJE","A VENCER"))))</f>
        <v/>
      </c>
      <c r="O380" s="57" t="str">
        <f aca="true">IF(OR(I380="",K380&lt;&gt;""),"",I380-TODAY())</f>
        <v/>
      </c>
      <c r="P380" s="51"/>
      <c r="Q380" s="51"/>
      <c r="R380" s="51"/>
      <c r="S380" s="50"/>
      <c r="T380" s="50"/>
      <c r="U380" s="52"/>
      <c r="V380" s="58" t="n">
        <f aca="false">IF(OR(B380="",I380="",F380="",F380=Cadastros!$E$4,F380=Cadastros!$E$9),999999,IF(COUNTIFS($B$5:$B$504,B380,$I$5:$I$504,"&gt;"&amp;I380)=0,YEAR(I380)*12+MONTH(I380),999999))</f>
        <v>999999</v>
      </c>
      <c r="W380" s="58" t="n">
        <f aca="false">IF(U380="",999999,YEAR(U380)*12+MONTH(U380))</f>
        <v>999999</v>
      </c>
      <c r="X380" s="58" t="n">
        <f aca="false">IF(F380=Cadastros!$E$6,3,IF(F380=Cadastros!$E$7,6,IF(F380=Cadastros!$E$8,12,1)))</f>
        <v>1</v>
      </c>
    </row>
    <row r="381" customFormat="false" ht="15" hidden="false" customHeight="false" outlineLevel="0" collapsed="false">
      <c r="A381" s="49" t="str">
        <f aca="false">IF(B381="","",ROW()-4)</f>
        <v/>
      </c>
      <c r="B381" s="50"/>
      <c r="C381" s="50"/>
      <c r="D381" s="50"/>
      <c r="E381" s="51"/>
      <c r="F381" s="51"/>
      <c r="G381" s="51"/>
      <c r="H381" s="52"/>
      <c r="I381" s="53"/>
      <c r="J381" s="54"/>
      <c r="K381" s="53"/>
      <c r="L381" s="54"/>
      <c r="M381" s="55" t="str">
        <f aca="false">IF(L381="","",L381-J381)</f>
        <v/>
      </c>
      <c r="N381" s="56" t="str">
        <f aca="true">IF(I381="","",IF(K381&lt;&gt;"","PAGO",IF(I381&lt;TODAY(),"VENCIDO",IF(I381=TODAY(),"VENCE HOJE","A VENCER"))))</f>
        <v/>
      </c>
      <c r="O381" s="57" t="str">
        <f aca="true">IF(OR(I381="",K381&lt;&gt;""),"",I381-TODAY())</f>
        <v/>
      </c>
      <c r="P381" s="51"/>
      <c r="Q381" s="51"/>
      <c r="R381" s="51"/>
      <c r="S381" s="50"/>
      <c r="T381" s="50"/>
      <c r="U381" s="52"/>
      <c r="V381" s="58" t="n">
        <f aca="false">IF(OR(B381="",I381="",F381="",F381=Cadastros!$E$4,F381=Cadastros!$E$9),999999,IF(COUNTIFS($B$5:$B$504,B381,$I$5:$I$504,"&gt;"&amp;I381)=0,YEAR(I381)*12+MONTH(I381),999999))</f>
        <v>999999</v>
      </c>
      <c r="W381" s="58" t="n">
        <f aca="false">IF(U381="",999999,YEAR(U381)*12+MONTH(U381))</f>
        <v>999999</v>
      </c>
      <c r="X381" s="58" t="n">
        <f aca="false">IF(F381=Cadastros!$E$6,3,IF(F381=Cadastros!$E$7,6,IF(F381=Cadastros!$E$8,12,1)))</f>
        <v>1</v>
      </c>
    </row>
    <row r="382" customFormat="false" ht="15" hidden="false" customHeight="false" outlineLevel="0" collapsed="false">
      <c r="A382" s="49" t="str">
        <f aca="false">IF(B382="","",ROW()-4)</f>
        <v/>
      </c>
      <c r="B382" s="50"/>
      <c r="C382" s="50"/>
      <c r="D382" s="50"/>
      <c r="E382" s="51"/>
      <c r="F382" s="51"/>
      <c r="G382" s="51"/>
      <c r="H382" s="52"/>
      <c r="I382" s="53"/>
      <c r="J382" s="54"/>
      <c r="K382" s="53"/>
      <c r="L382" s="54"/>
      <c r="M382" s="55" t="str">
        <f aca="false">IF(L382="","",L382-J382)</f>
        <v/>
      </c>
      <c r="N382" s="56" t="str">
        <f aca="true">IF(I382="","",IF(K382&lt;&gt;"","PAGO",IF(I382&lt;TODAY(),"VENCIDO",IF(I382=TODAY(),"VENCE HOJE","A VENCER"))))</f>
        <v/>
      </c>
      <c r="O382" s="57" t="str">
        <f aca="true">IF(OR(I382="",K382&lt;&gt;""),"",I382-TODAY())</f>
        <v/>
      </c>
      <c r="P382" s="51"/>
      <c r="Q382" s="51"/>
      <c r="R382" s="51"/>
      <c r="S382" s="50"/>
      <c r="T382" s="50"/>
      <c r="U382" s="52"/>
      <c r="V382" s="58" t="n">
        <f aca="false">IF(OR(B382="",I382="",F382="",F382=Cadastros!$E$4,F382=Cadastros!$E$9),999999,IF(COUNTIFS($B$5:$B$504,B382,$I$5:$I$504,"&gt;"&amp;I382)=0,YEAR(I382)*12+MONTH(I382),999999))</f>
        <v>999999</v>
      </c>
      <c r="W382" s="58" t="n">
        <f aca="false">IF(U382="",999999,YEAR(U382)*12+MONTH(U382))</f>
        <v>999999</v>
      </c>
      <c r="X382" s="58" t="n">
        <f aca="false">IF(F382=Cadastros!$E$6,3,IF(F382=Cadastros!$E$7,6,IF(F382=Cadastros!$E$8,12,1)))</f>
        <v>1</v>
      </c>
    </row>
    <row r="383" customFormat="false" ht="15" hidden="false" customHeight="false" outlineLevel="0" collapsed="false">
      <c r="A383" s="49" t="str">
        <f aca="false">IF(B383="","",ROW()-4)</f>
        <v/>
      </c>
      <c r="B383" s="50"/>
      <c r="C383" s="50"/>
      <c r="D383" s="50"/>
      <c r="E383" s="51"/>
      <c r="F383" s="51"/>
      <c r="G383" s="51"/>
      <c r="H383" s="52"/>
      <c r="I383" s="53"/>
      <c r="J383" s="54"/>
      <c r="K383" s="53"/>
      <c r="L383" s="54"/>
      <c r="M383" s="55" t="str">
        <f aca="false">IF(L383="","",L383-J383)</f>
        <v/>
      </c>
      <c r="N383" s="56" t="str">
        <f aca="true">IF(I383="","",IF(K383&lt;&gt;"","PAGO",IF(I383&lt;TODAY(),"VENCIDO",IF(I383=TODAY(),"VENCE HOJE","A VENCER"))))</f>
        <v/>
      </c>
      <c r="O383" s="57" t="str">
        <f aca="true">IF(OR(I383="",K383&lt;&gt;""),"",I383-TODAY())</f>
        <v/>
      </c>
      <c r="P383" s="51"/>
      <c r="Q383" s="51"/>
      <c r="R383" s="51"/>
      <c r="S383" s="50"/>
      <c r="T383" s="50"/>
      <c r="U383" s="52"/>
      <c r="V383" s="58" t="n">
        <f aca="false">IF(OR(B383="",I383="",F383="",F383=Cadastros!$E$4,F383=Cadastros!$E$9),999999,IF(COUNTIFS($B$5:$B$504,B383,$I$5:$I$504,"&gt;"&amp;I383)=0,YEAR(I383)*12+MONTH(I383),999999))</f>
        <v>999999</v>
      </c>
      <c r="W383" s="58" t="n">
        <f aca="false">IF(U383="",999999,YEAR(U383)*12+MONTH(U383))</f>
        <v>999999</v>
      </c>
      <c r="X383" s="58" t="n">
        <f aca="false">IF(F383=Cadastros!$E$6,3,IF(F383=Cadastros!$E$7,6,IF(F383=Cadastros!$E$8,12,1)))</f>
        <v>1</v>
      </c>
    </row>
    <row r="384" customFormat="false" ht="15" hidden="false" customHeight="false" outlineLevel="0" collapsed="false">
      <c r="A384" s="49" t="str">
        <f aca="false">IF(B384="","",ROW()-4)</f>
        <v/>
      </c>
      <c r="B384" s="50"/>
      <c r="C384" s="50"/>
      <c r="D384" s="50"/>
      <c r="E384" s="51"/>
      <c r="F384" s="51"/>
      <c r="G384" s="51"/>
      <c r="H384" s="52"/>
      <c r="I384" s="53"/>
      <c r="J384" s="54"/>
      <c r="K384" s="53"/>
      <c r="L384" s="54"/>
      <c r="M384" s="55" t="str">
        <f aca="false">IF(L384="","",L384-J384)</f>
        <v/>
      </c>
      <c r="N384" s="56" t="str">
        <f aca="true">IF(I384="","",IF(K384&lt;&gt;"","PAGO",IF(I384&lt;TODAY(),"VENCIDO",IF(I384=TODAY(),"VENCE HOJE","A VENCER"))))</f>
        <v/>
      </c>
      <c r="O384" s="57" t="str">
        <f aca="true">IF(OR(I384="",K384&lt;&gt;""),"",I384-TODAY())</f>
        <v/>
      </c>
      <c r="P384" s="51"/>
      <c r="Q384" s="51"/>
      <c r="R384" s="51"/>
      <c r="S384" s="50"/>
      <c r="T384" s="50"/>
      <c r="U384" s="52"/>
      <c r="V384" s="58" t="n">
        <f aca="false">IF(OR(B384="",I384="",F384="",F384=Cadastros!$E$4,F384=Cadastros!$E$9),999999,IF(COUNTIFS($B$5:$B$504,B384,$I$5:$I$504,"&gt;"&amp;I384)=0,YEAR(I384)*12+MONTH(I384),999999))</f>
        <v>999999</v>
      </c>
      <c r="W384" s="58" t="n">
        <f aca="false">IF(U384="",999999,YEAR(U384)*12+MONTH(U384))</f>
        <v>999999</v>
      </c>
      <c r="X384" s="58" t="n">
        <f aca="false">IF(F384=Cadastros!$E$6,3,IF(F384=Cadastros!$E$7,6,IF(F384=Cadastros!$E$8,12,1)))</f>
        <v>1</v>
      </c>
    </row>
    <row r="385" customFormat="false" ht="15" hidden="false" customHeight="false" outlineLevel="0" collapsed="false">
      <c r="A385" s="49" t="str">
        <f aca="false">IF(B385="","",ROW()-4)</f>
        <v/>
      </c>
      <c r="B385" s="50"/>
      <c r="C385" s="50"/>
      <c r="D385" s="50"/>
      <c r="E385" s="51"/>
      <c r="F385" s="51"/>
      <c r="G385" s="51"/>
      <c r="H385" s="52"/>
      <c r="I385" s="53"/>
      <c r="J385" s="54"/>
      <c r="K385" s="53"/>
      <c r="L385" s="54"/>
      <c r="M385" s="55" t="str">
        <f aca="false">IF(L385="","",L385-J385)</f>
        <v/>
      </c>
      <c r="N385" s="56" t="str">
        <f aca="true">IF(I385="","",IF(K385&lt;&gt;"","PAGO",IF(I385&lt;TODAY(),"VENCIDO",IF(I385=TODAY(),"VENCE HOJE","A VENCER"))))</f>
        <v/>
      </c>
      <c r="O385" s="57" t="str">
        <f aca="true">IF(OR(I385="",K385&lt;&gt;""),"",I385-TODAY())</f>
        <v/>
      </c>
      <c r="P385" s="51"/>
      <c r="Q385" s="51"/>
      <c r="R385" s="51"/>
      <c r="S385" s="50"/>
      <c r="T385" s="50"/>
      <c r="U385" s="52"/>
      <c r="V385" s="58" t="n">
        <f aca="false">IF(OR(B385="",I385="",F385="",F385=Cadastros!$E$4,F385=Cadastros!$E$9),999999,IF(COUNTIFS($B$5:$B$504,B385,$I$5:$I$504,"&gt;"&amp;I385)=0,YEAR(I385)*12+MONTH(I385),999999))</f>
        <v>999999</v>
      </c>
      <c r="W385" s="58" t="n">
        <f aca="false">IF(U385="",999999,YEAR(U385)*12+MONTH(U385))</f>
        <v>999999</v>
      </c>
      <c r="X385" s="58" t="n">
        <f aca="false">IF(F385=Cadastros!$E$6,3,IF(F385=Cadastros!$E$7,6,IF(F385=Cadastros!$E$8,12,1)))</f>
        <v>1</v>
      </c>
    </row>
    <row r="386" customFormat="false" ht="15" hidden="false" customHeight="false" outlineLevel="0" collapsed="false">
      <c r="A386" s="49" t="str">
        <f aca="false">IF(B386="","",ROW()-4)</f>
        <v/>
      </c>
      <c r="B386" s="50"/>
      <c r="C386" s="50"/>
      <c r="D386" s="50"/>
      <c r="E386" s="51"/>
      <c r="F386" s="51"/>
      <c r="G386" s="51"/>
      <c r="H386" s="52"/>
      <c r="I386" s="53"/>
      <c r="J386" s="54"/>
      <c r="K386" s="53"/>
      <c r="L386" s="54"/>
      <c r="M386" s="55" t="str">
        <f aca="false">IF(L386="","",L386-J386)</f>
        <v/>
      </c>
      <c r="N386" s="56" t="str">
        <f aca="true">IF(I386="","",IF(K386&lt;&gt;"","PAGO",IF(I386&lt;TODAY(),"VENCIDO",IF(I386=TODAY(),"VENCE HOJE","A VENCER"))))</f>
        <v/>
      </c>
      <c r="O386" s="57" t="str">
        <f aca="true">IF(OR(I386="",K386&lt;&gt;""),"",I386-TODAY())</f>
        <v/>
      </c>
      <c r="P386" s="51"/>
      <c r="Q386" s="51"/>
      <c r="R386" s="51"/>
      <c r="S386" s="50"/>
      <c r="T386" s="50"/>
      <c r="U386" s="52"/>
      <c r="V386" s="58" t="n">
        <f aca="false">IF(OR(B386="",I386="",F386="",F386=Cadastros!$E$4,F386=Cadastros!$E$9),999999,IF(COUNTIFS($B$5:$B$504,B386,$I$5:$I$504,"&gt;"&amp;I386)=0,YEAR(I386)*12+MONTH(I386),999999))</f>
        <v>999999</v>
      </c>
      <c r="W386" s="58" t="n">
        <f aca="false">IF(U386="",999999,YEAR(U386)*12+MONTH(U386))</f>
        <v>999999</v>
      </c>
      <c r="X386" s="58" t="n">
        <f aca="false">IF(F386=Cadastros!$E$6,3,IF(F386=Cadastros!$E$7,6,IF(F386=Cadastros!$E$8,12,1)))</f>
        <v>1</v>
      </c>
    </row>
    <row r="387" customFormat="false" ht="15" hidden="false" customHeight="false" outlineLevel="0" collapsed="false">
      <c r="A387" s="49" t="str">
        <f aca="false">IF(B387="","",ROW()-4)</f>
        <v/>
      </c>
      <c r="B387" s="50"/>
      <c r="C387" s="50"/>
      <c r="D387" s="50"/>
      <c r="E387" s="51"/>
      <c r="F387" s="51"/>
      <c r="G387" s="51"/>
      <c r="H387" s="52"/>
      <c r="I387" s="53"/>
      <c r="J387" s="54"/>
      <c r="K387" s="53"/>
      <c r="L387" s="54"/>
      <c r="M387" s="55" t="str">
        <f aca="false">IF(L387="","",L387-J387)</f>
        <v/>
      </c>
      <c r="N387" s="56" t="str">
        <f aca="true">IF(I387="","",IF(K387&lt;&gt;"","PAGO",IF(I387&lt;TODAY(),"VENCIDO",IF(I387=TODAY(),"VENCE HOJE","A VENCER"))))</f>
        <v/>
      </c>
      <c r="O387" s="57" t="str">
        <f aca="true">IF(OR(I387="",K387&lt;&gt;""),"",I387-TODAY())</f>
        <v/>
      </c>
      <c r="P387" s="51"/>
      <c r="Q387" s="51"/>
      <c r="R387" s="51"/>
      <c r="S387" s="50"/>
      <c r="T387" s="50"/>
      <c r="U387" s="52"/>
      <c r="V387" s="58" t="n">
        <f aca="false">IF(OR(B387="",I387="",F387="",F387=Cadastros!$E$4,F387=Cadastros!$E$9),999999,IF(COUNTIFS($B$5:$B$504,B387,$I$5:$I$504,"&gt;"&amp;I387)=0,YEAR(I387)*12+MONTH(I387),999999))</f>
        <v>999999</v>
      </c>
      <c r="W387" s="58" t="n">
        <f aca="false">IF(U387="",999999,YEAR(U387)*12+MONTH(U387))</f>
        <v>999999</v>
      </c>
      <c r="X387" s="58" t="n">
        <f aca="false">IF(F387=Cadastros!$E$6,3,IF(F387=Cadastros!$E$7,6,IF(F387=Cadastros!$E$8,12,1)))</f>
        <v>1</v>
      </c>
    </row>
    <row r="388" customFormat="false" ht="15" hidden="false" customHeight="false" outlineLevel="0" collapsed="false">
      <c r="A388" s="49" t="str">
        <f aca="false">IF(B388="","",ROW()-4)</f>
        <v/>
      </c>
      <c r="B388" s="50"/>
      <c r="C388" s="50"/>
      <c r="D388" s="50"/>
      <c r="E388" s="51"/>
      <c r="F388" s="51"/>
      <c r="G388" s="51"/>
      <c r="H388" s="52"/>
      <c r="I388" s="53"/>
      <c r="J388" s="54"/>
      <c r="K388" s="53"/>
      <c r="L388" s="54"/>
      <c r="M388" s="55" t="str">
        <f aca="false">IF(L388="","",L388-J388)</f>
        <v/>
      </c>
      <c r="N388" s="56" t="str">
        <f aca="true">IF(I388="","",IF(K388&lt;&gt;"","PAGO",IF(I388&lt;TODAY(),"VENCIDO",IF(I388=TODAY(),"VENCE HOJE","A VENCER"))))</f>
        <v/>
      </c>
      <c r="O388" s="57" t="str">
        <f aca="true">IF(OR(I388="",K388&lt;&gt;""),"",I388-TODAY())</f>
        <v/>
      </c>
      <c r="P388" s="51"/>
      <c r="Q388" s="51"/>
      <c r="R388" s="51"/>
      <c r="S388" s="50"/>
      <c r="T388" s="50"/>
      <c r="U388" s="52"/>
      <c r="V388" s="58" t="n">
        <f aca="false">IF(OR(B388="",I388="",F388="",F388=Cadastros!$E$4,F388=Cadastros!$E$9),999999,IF(COUNTIFS($B$5:$B$504,B388,$I$5:$I$504,"&gt;"&amp;I388)=0,YEAR(I388)*12+MONTH(I388),999999))</f>
        <v>999999</v>
      </c>
      <c r="W388" s="58" t="n">
        <f aca="false">IF(U388="",999999,YEAR(U388)*12+MONTH(U388))</f>
        <v>999999</v>
      </c>
      <c r="X388" s="58" t="n">
        <f aca="false">IF(F388=Cadastros!$E$6,3,IF(F388=Cadastros!$E$7,6,IF(F388=Cadastros!$E$8,12,1)))</f>
        <v>1</v>
      </c>
    </row>
    <row r="389" customFormat="false" ht="15" hidden="false" customHeight="false" outlineLevel="0" collapsed="false">
      <c r="A389" s="49" t="str">
        <f aca="false">IF(B389="","",ROW()-4)</f>
        <v/>
      </c>
      <c r="B389" s="50"/>
      <c r="C389" s="50"/>
      <c r="D389" s="50"/>
      <c r="E389" s="51"/>
      <c r="F389" s="51"/>
      <c r="G389" s="51"/>
      <c r="H389" s="52"/>
      <c r="I389" s="53"/>
      <c r="J389" s="54"/>
      <c r="K389" s="53"/>
      <c r="L389" s="54"/>
      <c r="M389" s="55" t="str">
        <f aca="false">IF(L389="","",L389-J389)</f>
        <v/>
      </c>
      <c r="N389" s="56" t="str">
        <f aca="true">IF(I389="","",IF(K389&lt;&gt;"","PAGO",IF(I389&lt;TODAY(),"VENCIDO",IF(I389=TODAY(),"VENCE HOJE","A VENCER"))))</f>
        <v/>
      </c>
      <c r="O389" s="57" t="str">
        <f aca="true">IF(OR(I389="",K389&lt;&gt;""),"",I389-TODAY())</f>
        <v/>
      </c>
      <c r="P389" s="51"/>
      <c r="Q389" s="51"/>
      <c r="R389" s="51"/>
      <c r="S389" s="50"/>
      <c r="T389" s="50"/>
      <c r="U389" s="52"/>
      <c r="V389" s="58" t="n">
        <f aca="false">IF(OR(B389="",I389="",F389="",F389=Cadastros!$E$4,F389=Cadastros!$E$9),999999,IF(COUNTIFS($B$5:$B$504,B389,$I$5:$I$504,"&gt;"&amp;I389)=0,YEAR(I389)*12+MONTH(I389),999999))</f>
        <v>999999</v>
      </c>
      <c r="W389" s="58" t="n">
        <f aca="false">IF(U389="",999999,YEAR(U389)*12+MONTH(U389))</f>
        <v>999999</v>
      </c>
      <c r="X389" s="58" t="n">
        <f aca="false">IF(F389=Cadastros!$E$6,3,IF(F389=Cadastros!$E$7,6,IF(F389=Cadastros!$E$8,12,1)))</f>
        <v>1</v>
      </c>
    </row>
    <row r="390" customFormat="false" ht="15" hidden="false" customHeight="false" outlineLevel="0" collapsed="false">
      <c r="A390" s="49" t="str">
        <f aca="false">IF(B390="","",ROW()-4)</f>
        <v/>
      </c>
      <c r="B390" s="50"/>
      <c r="C390" s="50"/>
      <c r="D390" s="50"/>
      <c r="E390" s="51"/>
      <c r="F390" s="51"/>
      <c r="G390" s="51"/>
      <c r="H390" s="52"/>
      <c r="I390" s="53"/>
      <c r="J390" s="54"/>
      <c r="K390" s="53"/>
      <c r="L390" s="54"/>
      <c r="M390" s="55" t="str">
        <f aca="false">IF(L390="","",L390-J390)</f>
        <v/>
      </c>
      <c r="N390" s="56" t="str">
        <f aca="true">IF(I390="","",IF(K390&lt;&gt;"","PAGO",IF(I390&lt;TODAY(),"VENCIDO",IF(I390=TODAY(),"VENCE HOJE","A VENCER"))))</f>
        <v/>
      </c>
      <c r="O390" s="57" t="str">
        <f aca="true">IF(OR(I390="",K390&lt;&gt;""),"",I390-TODAY())</f>
        <v/>
      </c>
      <c r="P390" s="51"/>
      <c r="Q390" s="51"/>
      <c r="R390" s="51"/>
      <c r="S390" s="50"/>
      <c r="T390" s="50"/>
      <c r="U390" s="52"/>
      <c r="V390" s="58" t="n">
        <f aca="false">IF(OR(B390="",I390="",F390="",F390=Cadastros!$E$4,F390=Cadastros!$E$9),999999,IF(COUNTIFS($B$5:$B$504,B390,$I$5:$I$504,"&gt;"&amp;I390)=0,YEAR(I390)*12+MONTH(I390),999999))</f>
        <v>999999</v>
      </c>
      <c r="W390" s="58" t="n">
        <f aca="false">IF(U390="",999999,YEAR(U390)*12+MONTH(U390))</f>
        <v>999999</v>
      </c>
      <c r="X390" s="58" t="n">
        <f aca="false">IF(F390=Cadastros!$E$6,3,IF(F390=Cadastros!$E$7,6,IF(F390=Cadastros!$E$8,12,1)))</f>
        <v>1</v>
      </c>
    </row>
    <row r="391" customFormat="false" ht="15" hidden="false" customHeight="false" outlineLevel="0" collapsed="false">
      <c r="A391" s="49" t="str">
        <f aca="false">IF(B391="","",ROW()-4)</f>
        <v/>
      </c>
      <c r="B391" s="50"/>
      <c r="C391" s="50"/>
      <c r="D391" s="50"/>
      <c r="E391" s="51"/>
      <c r="F391" s="51"/>
      <c r="G391" s="51"/>
      <c r="H391" s="52"/>
      <c r="I391" s="53"/>
      <c r="J391" s="54"/>
      <c r="K391" s="53"/>
      <c r="L391" s="54"/>
      <c r="M391" s="55" t="str">
        <f aca="false">IF(L391="","",L391-J391)</f>
        <v/>
      </c>
      <c r="N391" s="56" t="str">
        <f aca="true">IF(I391="","",IF(K391&lt;&gt;"","PAGO",IF(I391&lt;TODAY(),"VENCIDO",IF(I391=TODAY(),"VENCE HOJE","A VENCER"))))</f>
        <v/>
      </c>
      <c r="O391" s="57" t="str">
        <f aca="true">IF(OR(I391="",K391&lt;&gt;""),"",I391-TODAY())</f>
        <v/>
      </c>
      <c r="P391" s="51"/>
      <c r="Q391" s="51"/>
      <c r="R391" s="51"/>
      <c r="S391" s="50"/>
      <c r="T391" s="50"/>
      <c r="U391" s="52"/>
      <c r="V391" s="58" t="n">
        <f aca="false">IF(OR(B391="",I391="",F391="",F391=Cadastros!$E$4,F391=Cadastros!$E$9),999999,IF(COUNTIFS($B$5:$B$504,B391,$I$5:$I$504,"&gt;"&amp;I391)=0,YEAR(I391)*12+MONTH(I391),999999))</f>
        <v>999999</v>
      </c>
      <c r="W391" s="58" t="n">
        <f aca="false">IF(U391="",999999,YEAR(U391)*12+MONTH(U391))</f>
        <v>999999</v>
      </c>
      <c r="X391" s="58" t="n">
        <f aca="false">IF(F391=Cadastros!$E$6,3,IF(F391=Cadastros!$E$7,6,IF(F391=Cadastros!$E$8,12,1)))</f>
        <v>1</v>
      </c>
    </row>
    <row r="392" customFormat="false" ht="15" hidden="false" customHeight="false" outlineLevel="0" collapsed="false">
      <c r="A392" s="49" t="str">
        <f aca="false">IF(B392="","",ROW()-4)</f>
        <v/>
      </c>
      <c r="B392" s="50"/>
      <c r="C392" s="50"/>
      <c r="D392" s="50"/>
      <c r="E392" s="51"/>
      <c r="F392" s="51"/>
      <c r="G392" s="51"/>
      <c r="H392" s="52"/>
      <c r="I392" s="53"/>
      <c r="J392" s="54"/>
      <c r="K392" s="53"/>
      <c r="L392" s="54"/>
      <c r="M392" s="55" t="str">
        <f aca="false">IF(L392="","",L392-J392)</f>
        <v/>
      </c>
      <c r="N392" s="56" t="str">
        <f aca="true">IF(I392="","",IF(K392&lt;&gt;"","PAGO",IF(I392&lt;TODAY(),"VENCIDO",IF(I392=TODAY(),"VENCE HOJE","A VENCER"))))</f>
        <v/>
      </c>
      <c r="O392" s="57" t="str">
        <f aca="true">IF(OR(I392="",K392&lt;&gt;""),"",I392-TODAY())</f>
        <v/>
      </c>
      <c r="P392" s="51"/>
      <c r="Q392" s="51"/>
      <c r="R392" s="51"/>
      <c r="S392" s="50"/>
      <c r="T392" s="50"/>
      <c r="U392" s="52"/>
      <c r="V392" s="58" t="n">
        <f aca="false">IF(OR(B392="",I392="",F392="",F392=Cadastros!$E$4,F392=Cadastros!$E$9),999999,IF(COUNTIFS($B$5:$B$504,B392,$I$5:$I$504,"&gt;"&amp;I392)=0,YEAR(I392)*12+MONTH(I392),999999))</f>
        <v>999999</v>
      </c>
      <c r="W392" s="58" t="n">
        <f aca="false">IF(U392="",999999,YEAR(U392)*12+MONTH(U392))</f>
        <v>999999</v>
      </c>
      <c r="X392" s="58" t="n">
        <f aca="false">IF(F392=Cadastros!$E$6,3,IF(F392=Cadastros!$E$7,6,IF(F392=Cadastros!$E$8,12,1)))</f>
        <v>1</v>
      </c>
    </row>
    <row r="393" customFormat="false" ht="15" hidden="false" customHeight="false" outlineLevel="0" collapsed="false">
      <c r="A393" s="49" t="str">
        <f aca="false">IF(B393="","",ROW()-4)</f>
        <v/>
      </c>
      <c r="B393" s="50"/>
      <c r="C393" s="50"/>
      <c r="D393" s="50"/>
      <c r="E393" s="51"/>
      <c r="F393" s="51"/>
      <c r="G393" s="51"/>
      <c r="H393" s="52"/>
      <c r="I393" s="53"/>
      <c r="J393" s="54"/>
      <c r="K393" s="53"/>
      <c r="L393" s="54"/>
      <c r="M393" s="55" t="str">
        <f aca="false">IF(L393="","",L393-J393)</f>
        <v/>
      </c>
      <c r="N393" s="56" t="str">
        <f aca="true">IF(I393="","",IF(K393&lt;&gt;"","PAGO",IF(I393&lt;TODAY(),"VENCIDO",IF(I393=TODAY(),"VENCE HOJE","A VENCER"))))</f>
        <v/>
      </c>
      <c r="O393" s="57" t="str">
        <f aca="true">IF(OR(I393="",K393&lt;&gt;""),"",I393-TODAY())</f>
        <v/>
      </c>
      <c r="P393" s="51"/>
      <c r="Q393" s="51"/>
      <c r="R393" s="51"/>
      <c r="S393" s="50"/>
      <c r="T393" s="50"/>
      <c r="U393" s="52"/>
      <c r="V393" s="58" t="n">
        <f aca="false">IF(OR(B393="",I393="",F393="",F393=Cadastros!$E$4,F393=Cadastros!$E$9),999999,IF(COUNTIFS($B$5:$B$504,B393,$I$5:$I$504,"&gt;"&amp;I393)=0,YEAR(I393)*12+MONTH(I393),999999))</f>
        <v>999999</v>
      </c>
      <c r="W393" s="58" t="n">
        <f aca="false">IF(U393="",999999,YEAR(U393)*12+MONTH(U393))</f>
        <v>999999</v>
      </c>
      <c r="X393" s="58" t="n">
        <f aca="false">IF(F393=Cadastros!$E$6,3,IF(F393=Cadastros!$E$7,6,IF(F393=Cadastros!$E$8,12,1)))</f>
        <v>1</v>
      </c>
    </row>
    <row r="394" customFormat="false" ht="15" hidden="false" customHeight="false" outlineLevel="0" collapsed="false">
      <c r="A394" s="49" t="str">
        <f aca="false">IF(B394="","",ROW()-4)</f>
        <v/>
      </c>
      <c r="B394" s="50"/>
      <c r="C394" s="50"/>
      <c r="D394" s="50"/>
      <c r="E394" s="51"/>
      <c r="F394" s="51"/>
      <c r="G394" s="51"/>
      <c r="H394" s="52"/>
      <c r="I394" s="53"/>
      <c r="J394" s="54"/>
      <c r="K394" s="53"/>
      <c r="L394" s="54"/>
      <c r="M394" s="55" t="str">
        <f aca="false">IF(L394="","",L394-J394)</f>
        <v/>
      </c>
      <c r="N394" s="56" t="str">
        <f aca="true">IF(I394="","",IF(K394&lt;&gt;"","PAGO",IF(I394&lt;TODAY(),"VENCIDO",IF(I394=TODAY(),"VENCE HOJE","A VENCER"))))</f>
        <v/>
      </c>
      <c r="O394" s="57" t="str">
        <f aca="true">IF(OR(I394="",K394&lt;&gt;""),"",I394-TODAY())</f>
        <v/>
      </c>
      <c r="P394" s="51"/>
      <c r="Q394" s="51"/>
      <c r="R394" s="51"/>
      <c r="S394" s="50"/>
      <c r="T394" s="50"/>
      <c r="U394" s="52"/>
      <c r="V394" s="58" t="n">
        <f aca="false">IF(OR(B394="",I394="",F394="",F394=Cadastros!$E$4,F394=Cadastros!$E$9),999999,IF(COUNTIFS($B$5:$B$504,B394,$I$5:$I$504,"&gt;"&amp;I394)=0,YEAR(I394)*12+MONTH(I394),999999))</f>
        <v>999999</v>
      </c>
      <c r="W394" s="58" t="n">
        <f aca="false">IF(U394="",999999,YEAR(U394)*12+MONTH(U394))</f>
        <v>999999</v>
      </c>
      <c r="X394" s="58" t="n">
        <f aca="false">IF(F394=Cadastros!$E$6,3,IF(F394=Cadastros!$E$7,6,IF(F394=Cadastros!$E$8,12,1)))</f>
        <v>1</v>
      </c>
    </row>
    <row r="395" customFormat="false" ht="15" hidden="false" customHeight="false" outlineLevel="0" collapsed="false">
      <c r="A395" s="49" t="str">
        <f aca="false">IF(B395="","",ROW()-4)</f>
        <v/>
      </c>
      <c r="B395" s="50"/>
      <c r="C395" s="50"/>
      <c r="D395" s="50"/>
      <c r="E395" s="51"/>
      <c r="F395" s="51"/>
      <c r="G395" s="51"/>
      <c r="H395" s="52"/>
      <c r="I395" s="53"/>
      <c r="J395" s="54"/>
      <c r="K395" s="53"/>
      <c r="L395" s="54"/>
      <c r="M395" s="55" t="str">
        <f aca="false">IF(L395="","",L395-J395)</f>
        <v/>
      </c>
      <c r="N395" s="56" t="str">
        <f aca="true">IF(I395="","",IF(K395&lt;&gt;"","PAGO",IF(I395&lt;TODAY(),"VENCIDO",IF(I395=TODAY(),"VENCE HOJE","A VENCER"))))</f>
        <v/>
      </c>
      <c r="O395" s="57" t="str">
        <f aca="true">IF(OR(I395="",K395&lt;&gt;""),"",I395-TODAY())</f>
        <v/>
      </c>
      <c r="P395" s="51"/>
      <c r="Q395" s="51"/>
      <c r="R395" s="51"/>
      <c r="S395" s="50"/>
      <c r="T395" s="50"/>
      <c r="U395" s="52"/>
      <c r="V395" s="58" t="n">
        <f aca="false">IF(OR(B395="",I395="",F395="",F395=Cadastros!$E$4,F395=Cadastros!$E$9),999999,IF(COUNTIFS($B$5:$B$504,B395,$I$5:$I$504,"&gt;"&amp;I395)=0,YEAR(I395)*12+MONTH(I395),999999))</f>
        <v>999999</v>
      </c>
      <c r="W395" s="58" t="n">
        <f aca="false">IF(U395="",999999,YEAR(U395)*12+MONTH(U395))</f>
        <v>999999</v>
      </c>
      <c r="X395" s="58" t="n">
        <f aca="false">IF(F395=Cadastros!$E$6,3,IF(F395=Cadastros!$E$7,6,IF(F395=Cadastros!$E$8,12,1)))</f>
        <v>1</v>
      </c>
    </row>
    <row r="396" customFormat="false" ht="15" hidden="false" customHeight="false" outlineLevel="0" collapsed="false">
      <c r="A396" s="49" t="str">
        <f aca="false">IF(B396="","",ROW()-4)</f>
        <v/>
      </c>
      <c r="B396" s="50"/>
      <c r="C396" s="50"/>
      <c r="D396" s="50"/>
      <c r="E396" s="51"/>
      <c r="F396" s="51"/>
      <c r="G396" s="51"/>
      <c r="H396" s="52"/>
      <c r="I396" s="53"/>
      <c r="J396" s="54"/>
      <c r="K396" s="53"/>
      <c r="L396" s="54"/>
      <c r="M396" s="55" t="str">
        <f aca="false">IF(L396="","",L396-J396)</f>
        <v/>
      </c>
      <c r="N396" s="56" t="str">
        <f aca="true">IF(I396="","",IF(K396&lt;&gt;"","PAGO",IF(I396&lt;TODAY(),"VENCIDO",IF(I396=TODAY(),"VENCE HOJE","A VENCER"))))</f>
        <v/>
      </c>
      <c r="O396" s="57" t="str">
        <f aca="true">IF(OR(I396="",K396&lt;&gt;""),"",I396-TODAY())</f>
        <v/>
      </c>
      <c r="P396" s="51"/>
      <c r="Q396" s="51"/>
      <c r="R396" s="51"/>
      <c r="S396" s="50"/>
      <c r="T396" s="50"/>
      <c r="U396" s="52"/>
      <c r="V396" s="58" t="n">
        <f aca="false">IF(OR(B396="",I396="",F396="",F396=Cadastros!$E$4,F396=Cadastros!$E$9),999999,IF(COUNTIFS($B$5:$B$504,B396,$I$5:$I$504,"&gt;"&amp;I396)=0,YEAR(I396)*12+MONTH(I396),999999))</f>
        <v>999999</v>
      </c>
      <c r="W396" s="58" t="n">
        <f aca="false">IF(U396="",999999,YEAR(U396)*12+MONTH(U396))</f>
        <v>999999</v>
      </c>
      <c r="X396" s="58" t="n">
        <f aca="false">IF(F396=Cadastros!$E$6,3,IF(F396=Cadastros!$E$7,6,IF(F396=Cadastros!$E$8,12,1)))</f>
        <v>1</v>
      </c>
    </row>
    <row r="397" customFormat="false" ht="15" hidden="false" customHeight="false" outlineLevel="0" collapsed="false">
      <c r="A397" s="49" t="str">
        <f aca="false">IF(B397="","",ROW()-4)</f>
        <v/>
      </c>
      <c r="B397" s="50"/>
      <c r="C397" s="50"/>
      <c r="D397" s="50"/>
      <c r="E397" s="51"/>
      <c r="F397" s="51"/>
      <c r="G397" s="51"/>
      <c r="H397" s="52"/>
      <c r="I397" s="53"/>
      <c r="J397" s="54"/>
      <c r="K397" s="53"/>
      <c r="L397" s="54"/>
      <c r="M397" s="55" t="str">
        <f aca="false">IF(L397="","",L397-J397)</f>
        <v/>
      </c>
      <c r="N397" s="56" t="str">
        <f aca="true">IF(I397="","",IF(K397&lt;&gt;"","PAGO",IF(I397&lt;TODAY(),"VENCIDO",IF(I397=TODAY(),"VENCE HOJE","A VENCER"))))</f>
        <v/>
      </c>
      <c r="O397" s="57" t="str">
        <f aca="true">IF(OR(I397="",K397&lt;&gt;""),"",I397-TODAY())</f>
        <v/>
      </c>
      <c r="P397" s="51"/>
      <c r="Q397" s="51"/>
      <c r="R397" s="51"/>
      <c r="S397" s="50"/>
      <c r="T397" s="50"/>
      <c r="U397" s="52"/>
      <c r="V397" s="58" t="n">
        <f aca="false">IF(OR(B397="",I397="",F397="",F397=Cadastros!$E$4,F397=Cadastros!$E$9),999999,IF(COUNTIFS($B$5:$B$504,B397,$I$5:$I$504,"&gt;"&amp;I397)=0,YEAR(I397)*12+MONTH(I397),999999))</f>
        <v>999999</v>
      </c>
      <c r="W397" s="58" t="n">
        <f aca="false">IF(U397="",999999,YEAR(U397)*12+MONTH(U397))</f>
        <v>999999</v>
      </c>
      <c r="X397" s="58" t="n">
        <f aca="false">IF(F397=Cadastros!$E$6,3,IF(F397=Cadastros!$E$7,6,IF(F397=Cadastros!$E$8,12,1)))</f>
        <v>1</v>
      </c>
    </row>
    <row r="398" customFormat="false" ht="15" hidden="false" customHeight="false" outlineLevel="0" collapsed="false">
      <c r="A398" s="49" t="str">
        <f aca="false">IF(B398="","",ROW()-4)</f>
        <v/>
      </c>
      <c r="B398" s="50"/>
      <c r="C398" s="50"/>
      <c r="D398" s="50"/>
      <c r="E398" s="51"/>
      <c r="F398" s="51"/>
      <c r="G398" s="51"/>
      <c r="H398" s="52"/>
      <c r="I398" s="53"/>
      <c r="J398" s="54"/>
      <c r="K398" s="53"/>
      <c r="L398" s="54"/>
      <c r="M398" s="55" t="str">
        <f aca="false">IF(L398="","",L398-J398)</f>
        <v/>
      </c>
      <c r="N398" s="56" t="str">
        <f aca="true">IF(I398="","",IF(K398&lt;&gt;"","PAGO",IF(I398&lt;TODAY(),"VENCIDO",IF(I398=TODAY(),"VENCE HOJE","A VENCER"))))</f>
        <v/>
      </c>
      <c r="O398" s="57" t="str">
        <f aca="true">IF(OR(I398="",K398&lt;&gt;""),"",I398-TODAY())</f>
        <v/>
      </c>
      <c r="P398" s="51"/>
      <c r="Q398" s="51"/>
      <c r="R398" s="51"/>
      <c r="S398" s="50"/>
      <c r="T398" s="50"/>
      <c r="U398" s="52"/>
      <c r="V398" s="58" t="n">
        <f aca="false">IF(OR(B398="",I398="",F398="",F398=Cadastros!$E$4,F398=Cadastros!$E$9),999999,IF(COUNTIFS($B$5:$B$504,B398,$I$5:$I$504,"&gt;"&amp;I398)=0,YEAR(I398)*12+MONTH(I398),999999))</f>
        <v>999999</v>
      </c>
      <c r="W398" s="58" t="n">
        <f aca="false">IF(U398="",999999,YEAR(U398)*12+MONTH(U398))</f>
        <v>999999</v>
      </c>
      <c r="X398" s="58" t="n">
        <f aca="false">IF(F398=Cadastros!$E$6,3,IF(F398=Cadastros!$E$7,6,IF(F398=Cadastros!$E$8,12,1)))</f>
        <v>1</v>
      </c>
    </row>
    <row r="399" customFormat="false" ht="15" hidden="false" customHeight="false" outlineLevel="0" collapsed="false">
      <c r="A399" s="49" t="str">
        <f aca="false">IF(B399="","",ROW()-4)</f>
        <v/>
      </c>
      <c r="B399" s="50"/>
      <c r="C399" s="50"/>
      <c r="D399" s="50"/>
      <c r="E399" s="51"/>
      <c r="F399" s="51"/>
      <c r="G399" s="51"/>
      <c r="H399" s="52"/>
      <c r="I399" s="53"/>
      <c r="J399" s="54"/>
      <c r="K399" s="53"/>
      <c r="L399" s="54"/>
      <c r="M399" s="55" t="str">
        <f aca="false">IF(L399="","",L399-J399)</f>
        <v/>
      </c>
      <c r="N399" s="56" t="str">
        <f aca="true">IF(I399="","",IF(K399&lt;&gt;"","PAGO",IF(I399&lt;TODAY(),"VENCIDO",IF(I399=TODAY(),"VENCE HOJE","A VENCER"))))</f>
        <v/>
      </c>
      <c r="O399" s="57" t="str">
        <f aca="true">IF(OR(I399="",K399&lt;&gt;""),"",I399-TODAY())</f>
        <v/>
      </c>
      <c r="P399" s="51"/>
      <c r="Q399" s="51"/>
      <c r="R399" s="51"/>
      <c r="S399" s="50"/>
      <c r="T399" s="50"/>
      <c r="U399" s="52"/>
      <c r="V399" s="58" t="n">
        <f aca="false">IF(OR(B399="",I399="",F399="",F399=Cadastros!$E$4,F399=Cadastros!$E$9),999999,IF(COUNTIFS($B$5:$B$504,B399,$I$5:$I$504,"&gt;"&amp;I399)=0,YEAR(I399)*12+MONTH(I399),999999))</f>
        <v>999999</v>
      </c>
      <c r="W399" s="58" t="n">
        <f aca="false">IF(U399="",999999,YEAR(U399)*12+MONTH(U399))</f>
        <v>999999</v>
      </c>
      <c r="X399" s="58" t="n">
        <f aca="false">IF(F399=Cadastros!$E$6,3,IF(F399=Cadastros!$E$7,6,IF(F399=Cadastros!$E$8,12,1)))</f>
        <v>1</v>
      </c>
    </row>
    <row r="400" customFormat="false" ht="15" hidden="false" customHeight="false" outlineLevel="0" collapsed="false">
      <c r="A400" s="49" t="str">
        <f aca="false">IF(B400="","",ROW()-4)</f>
        <v/>
      </c>
      <c r="B400" s="50"/>
      <c r="C400" s="50"/>
      <c r="D400" s="50"/>
      <c r="E400" s="51"/>
      <c r="F400" s="51"/>
      <c r="G400" s="51"/>
      <c r="H400" s="52"/>
      <c r="I400" s="53"/>
      <c r="J400" s="54"/>
      <c r="K400" s="53"/>
      <c r="L400" s="54"/>
      <c r="M400" s="55" t="str">
        <f aca="false">IF(L400="","",L400-J400)</f>
        <v/>
      </c>
      <c r="N400" s="56" t="str">
        <f aca="true">IF(I400="","",IF(K400&lt;&gt;"","PAGO",IF(I400&lt;TODAY(),"VENCIDO",IF(I400=TODAY(),"VENCE HOJE","A VENCER"))))</f>
        <v/>
      </c>
      <c r="O400" s="57" t="str">
        <f aca="true">IF(OR(I400="",K400&lt;&gt;""),"",I400-TODAY())</f>
        <v/>
      </c>
      <c r="P400" s="51"/>
      <c r="Q400" s="51"/>
      <c r="R400" s="51"/>
      <c r="S400" s="50"/>
      <c r="T400" s="50"/>
      <c r="U400" s="52"/>
      <c r="V400" s="58" t="n">
        <f aca="false">IF(OR(B400="",I400="",F400="",F400=Cadastros!$E$4,F400=Cadastros!$E$9),999999,IF(COUNTIFS($B$5:$B$504,B400,$I$5:$I$504,"&gt;"&amp;I400)=0,YEAR(I400)*12+MONTH(I400),999999))</f>
        <v>999999</v>
      </c>
      <c r="W400" s="58" t="n">
        <f aca="false">IF(U400="",999999,YEAR(U400)*12+MONTH(U400))</f>
        <v>999999</v>
      </c>
      <c r="X400" s="58" t="n">
        <f aca="false">IF(F400=Cadastros!$E$6,3,IF(F400=Cadastros!$E$7,6,IF(F400=Cadastros!$E$8,12,1)))</f>
        <v>1</v>
      </c>
    </row>
    <row r="401" customFormat="false" ht="15" hidden="false" customHeight="false" outlineLevel="0" collapsed="false">
      <c r="A401" s="49" t="str">
        <f aca="false">IF(B401="","",ROW()-4)</f>
        <v/>
      </c>
      <c r="B401" s="50"/>
      <c r="C401" s="50"/>
      <c r="D401" s="50"/>
      <c r="E401" s="51"/>
      <c r="F401" s="51"/>
      <c r="G401" s="51"/>
      <c r="H401" s="52"/>
      <c r="I401" s="53"/>
      <c r="J401" s="54"/>
      <c r="K401" s="53"/>
      <c r="L401" s="54"/>
      <c r="M401" s="55" t="str">
        <f aca="false">IF(L401="","",L401-J401)</f>
        <v/>
      </c>
      <c r="N401" s="56" t="str">
        <f aca="true">IF(I401="","",IF(K401&lt;&gt;"","PAGO",IF(I401&lt;TODAY(),"VENCIDO",IF(I401=TODAY(),"VENCE HOJE","A VENCER"))))</f>
        <v/>
      </c>
      <c r="O401" s="57" t="str">
        <f aca="true">IF(OR(I401="",K401&lt;&gt;""),"",I401-TODAY())</f>
        <v/>
      </c>
      <c r="P401" s="51"/>
      <c r="Q401" s="51"/>
      <c r="R401" s="51"/>
      <c r="S401" s="50"/>
      <c r="T401" s="50"/>
      <c r="U401" s="52"/>
      <c r="V401" s="58" t="n">
        <f aca="false">IF(OR(B401="",I401="",F401="",F401=Cadastros!$E$4,F401=Cadastros!$E$9),999999,IF(COUNTIFS($B$5:$B$504,B401,$I$5:$I$504,"&gt;"&amp;I401)=0,YEAR(I401)*12+MONTH(I401),999999))</f>
        <v>999999</v>
      </c>
      <c r="W401" s="58" t="n">
        <f aca="false">IF(U401="",999999,YEAR(U401)*12+MONTH(U401))</f>
        <v>999999</v>
      </c>
      <c r="X401" s="58" t="n">
        <f aca="false">IF(F401=Cadastros!$E$6,3,IF(F401=Cadastros!$E$7,6,IF(F401=Cadastros!$E$8,12,1)))</f>
        <v>1</v>
      </c>
    </row>
    <row r="402" customFormat="false" ht="15" hidden="false" customHeight="false" outlineLevel="0" collapsed="false">
      <c r="A402" s="49" t="str">
        <f aca="false">IF(B402="","",ROW()-4)</f>
        <v/>
      </c>
      <c r="B402" s="50"/>
      <c r="C402" s="50"/>
      <c r="D402" s="50"/>
      <c r="E402" s="51"/>
      <c r="F402" s="51"/>
      <c r="G402" s="51"/>
      <c r="H402" s="52"/>
      <c r="I402" s="53"/>
      <c r="J402" s="54"/>
      <c r="K402" s="53"/>
      <c r="L402" s="54"/>
      <c r="M402" s="55" t="str">
        <f aca="false">IF(L402="","",L402-J402)</f>
        <v/>
      </c>
      <c r="N402" s="56" t="str">
        <f aca="true">IF(I402="","",IF(K402&lt;&gt;"","PAGO",IF(I402&lt;TODAY(),"VENCIDO",IF(I402=TODAY(),"VENCE HOJE","A VENCER"))))</f>
        <v/>
      </c>
      <c r="O402" s="57" t="str">
        <f aca="true">IF(OR(I402="",K402&lt;&gt;""),"",I402-TODAY())</f>
        <v/>
      </c>
      <c r="P402" s="51"/>
      <c r="Q402" s="51"/>
      <c r="R402" s="51"/>
      <c r="S402" s="50"/>
      <c r="T402" s="50"/>
      <c r="U402" s="52"/>
      <c r="V402" s="58" t="n">
        <f aca="false">IF(OR(B402="",I402="",F402="",F402=Cadastros!$E$4,F402=Cadastros!$E$9),999999,IF(COUNTIFS($B$5:$B$504,B402,$I$5:$I$504,"&gt;"&amp;I402)=0,YEAR(I402)*12+MONTH(I402),999999))</f>
        <v>999999</v>
      </c>
      <c r="W402" s="58" t="n">
        <f aca="false">IF(U402="",999999,YEAR(U402)*12+MONTH(U402))</f>
        <v>999999</v>
      </c>
      <c r="X402" s="58" t="n">
        <f aca="false">IF(F402=Cadastros!$E$6,3,IF(F402=Cadastros!$E$7,6,IF(F402=Cadastros!$E$8,12,1)))</f>
        <v>1</v>
      </c>
    </row>
    <row r="403" customFormat="false" ht="15" hidden="false" customHeight="false" outlineLevel="0" collapsed="false">
      <c r="A403" s="49" t="str">
        <f aca="false">IF(B403="","",ROW()-4)</f>
        <v/>
      </c>
      <c r="B403" s="50"/>
      <c r="C403" s="50"/>
      <c r="D403" s="50"/>
      <c r="E403" s="51"/>
      <c r="F403" s="51"/>
      <c r="G403" s="51"/>
      <c r="H403" s="52"/>
      <c r="I403" s="53"/>
      <c r="J403" s="54"/>
      <c r="K403" s="53"/>
      <c r="L403" s="54"/>
      <c r="M403" s="55" t="str">
        <f aca="false">IF(L403="","",L403-J403)</f>
        <v/>
      </c>
      <c r="N403" s="56" t="str">
        <f aca="true">IF(I403="","",IF(K403&lt;&gt;"","PAGO",IF(I403&lt;TODAY(),"VENCIDO",IF(I403=TODAY(),"VENCE HOJE","A VENCER"))))</f>
        <v/>
      </c>
      <c r="O403" s="57" t="str">
        <f aca="true">IF(OR(I403="",K403&lt;&gt;""),"",I403-TODAY())</f>
        <v/>
      </c>
      <c r="P403" s="51"/>
      <c r="Q403" s="51"/>
      <c r="R403" s="51"/>
      <c r="S403" s="50"/>
      <c r="T403" s="50"/>
      <c r="U403" s="52"/>
      <c r="V403" s="58" t="n">
        <f aca="false">IF(OR(B403="",I403="",F403="",F403=Cadastros!$E$4,F403=Cadastros!$E$9),999999,IF(COUNTIFS($B$5:$B$504,B403,$I$5:$I$504,"&gt;"&amp;I403)=0,YEAR(I403)*12+MONTH(I403),999999))</f>
        <v>999999</v>
      </c>
      <c r="W403" s="58" t="n">
        <f aca="false">IF(U403="",999999,YEAR(U403)*12+MONTH(U403))</f>
        <v>999999</v>
      </c>
      <c r="X403" s="58" t="n">
        <f aca="false">IF(F403=Cadastros!$E$6,3,IF(F403=Cadastros!$E$7,6,IF(F403=Cadastros!$E$8,12,1)))</f>
        <v>1</v>
      </c>
    </row>
    <row r="404" customFormat="false" ht="15" hidden="false" customHeight="false" outlineLevel="0" collapsed="false">
      <c r="A404" s="49" t="str">
        <f aca="false">IF(B404="","",ROW()-4)</f>
        <v/>
      </c>
      <c r="B404" s="50"/>
      <c r="C404" s="50"/>
      <c r="D404" s="50"/>
      <c r="E404" s="51"/>
      <c r="F404" s="51"/>
      <c r="G404" s="51"/>
      <c r="H404" s="52"/>
      <c r="I404" s="53"/>
      <c r="J404" s="54"/>
      <c r="K404" s="53"/>
      <c r="L404" s="54"/>
      <c r="M404" s="55" t="str">
        <f aca="false">IF(L404="","",L404-J404)</f>
        <v/>
      </c>
      <c r="N404" s="56" t="str">
        <f aca="true">IF(I404="","",IF(K404&lt;&gt;"","PAGO",IF(I404&lt;TODAY(),"VENCIDO",IF(I404=TODAY(),"VENCE HOJE","A VENCER"))))</f>
        <v/>
      </c>
      <c r="O404" s="57" t="str">
        <f aca="true">IF(OR(I404="",K404&lt;&gt;""),"",I404-TODAY())</f>
        <v/>
      </c>
      <c r="P404" s="51"/>
      <c r="Q404" s="51"/>
      <c r="R404" s="51"/>
      <c r="S404" s="50"/>
      <c r="T404" s="50"/>
      <c r="U404" s="52"/>
      <c r="V404" s="58" t="n">
        <f aca="false">IF(OR(B404="",I404="",F404="",F404=Cadastros!$E$4,F404=Cadastros!$E$9),999999,IF(COUNTIFS($B$5:$B$504,B404,$I$5:$I$504,"&gt;"&amp;I404)=0,YEAR(I404)*12+MONTH(I404),999999))</f>
        <v>999999</v>
      </c>
      <c r="W404" s="58" t="n">
        <f aca="false">IF(U404="",999999,YEAR(U404)*12+MONTH(U404))</f>
        <v>999999</v>
      </c>
      <c r="X404" s="58" t="n">
        <f aca="false">IF(F404=Cadastros!$E$6,3,IF(F404=Cadastros!$E$7,6,IF(F404=Cadastros!$E$8,12,1)))</f>
        <v>1</v>
      </c>
    </row>
    <row r="405" customFormat="false" ht="15" hidden="false" customHeight="false" outlineLevel="0" collapsed="false">
      <c r="A405" s="49" t="str">
        <f aca="false">IF(B405="","",ROW()-4)</f>
        <v/>
      </c>
      <c r="B405" s="50"/>
      <c r="C405" s="50"/>
      <c r="D405" s="50"/>
      <c r="E405" s="51"/>
      <c r="F405" s="51"/>
      <c r="G405" s="51"/>
      <c r="H405" s="52"/>
      <c r="I405" s="53"/>
      <c r="J405" s="54"/>
      <c r="K405" s="53"/>
      <c r="L405" s="54"/>
      <c r="M405" s="55" t="str">
        <f aca="false">IF(L405="","",L405-J405)</f>
        <v/>
      </c>
      <c r="N405" s="56" t="str">
        <f aca="true">IF(I405="","",IF(K405&lt;&gt;"","PAGO",IF(I405&lt;TODAY(),"VENCIDO",IF(I405=TODAY(),"VENCE HOJE","A VENCER"))))</f>
        <v/>
      </c>
      <c r="O405" s="57" t="str">
        <f aca="true">IF(OR(I405="",K405&lt;&gt;""),"",I405-TODAY())</f>
        <v/>
      </c>
      <c r="P405" s="51"/>
      <c r="Q405" s="51"/>
      <c r="R405" s="51"/>
      <c r="S405" s="50"/>
      <c r="T405" s="50"/>
      <c r="U405" s="52"/>
      <c r="V405" s="58" t="n">
        <f aca="false">IF(OR(B405="",I405="",F405="",F405=Cadastros!$E$4,F405=Cadastros!$E$9),999999,IF(COUNTIFS($B$5:$B$504,B405,$I$5:$I$504,"&gt;"&amp;I405)=0,YEAR(I405)*12+MONTH(I405),999999))</f>
        <v>999999</v>
      </c>
      <c r="W405" s="58" t="n">
        <f aca="false">IF(U405="",999999,YEAR(U405)*12+MONTH(U405))</f>
        <v>999999</v>
      </c>
      <c r="X405" s="58" t="n">
        <f aca="false">IF(F405=Cadastros!$E$6,3,IF(F405=Cadastros!$E$7,6,IF(F405=Cadastros!$E$8,12,1)))</f>
        <v>1</v>
      </c>
    </row>
    <row r="406" customFormat="false" ht="15" hidden="false" customHeight="false" outlineLevel="0" collapsed="false">
      <c r="A406" s="49" t="str">
        <f aca="false">IF(B406="","",ROW()-4)</f>
        <v/>
      </c>
      <c r="B406" s="50"/>
      <c r="C406" s="50"/>
      <c r="D406" s="50"/>
      <c r="E406" s="51"/>
      <c r="F406" s="51"/>
      <c r="G406" s="51"/>
      <c r="H406" s="52"/>
      <c r="I406" s="53"/>
      <c r="J406" s="54"/>
      <c r="K406" s="53"/>
      <c r="L406" s="54"/>
      <c r="M406" s="55" t="str">
        <f aca="false">IF(L406="","",L406-J406)</f>
        <v/>
      </c>
      <c r="N406" s="56" t="str">
        <f aca="true">IF(I406="","",IF(K406&lt;&gt;"","PAGO",IF(I406&lt;TODAY(),"VENCIDO",IF(I406=TODAY(),"VENCE HOJE","A VENCER"))))</f>
        <v/>
      </c>
      <c r="O406" s="57" t="str">
        <f aca="true">IF(OR(I406="",K406&lt;&gt;""),"",I406-TODAY())</f>
        <v/>
      </c>
      <c r="P406" s="51"/>
      <c r="Q406" s="51"/>
      <c r="R406" s="51"/>
      <c r="S406" s="50"/>
      <c r="T406" s="50"/>
      <c r="U406" s="52"/>
      <c r="V406" s="58" t="n">
        <f aca="false">IF(OR(B406="",I406="",F406="",F406=Cadastros!$E$4,F406=Cadastros!$E$9),999999,IF(COUNTIFS($B$5:$B$504,B406,$I$5:$I$504,"&gt;"&amp;I406)=0,YEAR(I406)*12+MONTH(I406),999999))</f>
        <v>999999</v>
      </c>
      <c r="W406" s="58" t="n">
        <f aca="false">IF(U406="",999999,YEAR(U406)*12+MONTH(U406))</f>
        <v>999999</v>
      </c>
      <c r="X406" s="58" t="n">
        <f aca="false">IF(F406=Cadastros!$E$6,3,IF(F406=Cadastros!$E$7,6,IF(F406=Cadastros!$E$8,12,1)))</f>
        <v>1</v>
      </c>
    </row>
    <row r="407" customFormat="false" ht="15" hidden="false" customHeight="false" outlineLevel="0" collapsed="false">
      <c r="A407" s="49" t="str">
        <f aca="false">IF(B407="","",ROW()-4)</f>
        <v/>
      </c>
      <c r="B407" s="50"/>
      <c r="C407" s="50"/>
      <c r="D407" s="50"/>
      <c r="E407" s="51"/>
      <c r="F407" s="51"/>
      <c r="G407" s="51"/>
      <c r="H407" s="52"/>
      <c r="I407" s="53"/>
      <c r="J407" s="54"/>
      <c r="K407" s="53"/>
      <c r="L407" s="54"/>
      <c r="M407" s="55" t="str">
        <f aca="false">IF(L407="","",L407-J407)</f>
        <v/>
      </c>
      <c r="N407" s="56" t="str">
        <f aca="true">IF(I407="","",IF(K407&lt;&gt;"","PAGO",IF(I407&lt;TODAY(),"VENCIDO",IF(I407=TODAY(),"VENCE HOJE","A VENCER"))))</f>
        <v/>
      </c>
      <c r="O407" s="57" t="str">
        <f aca="true">IF(OR(I407="",K407&lt;&gt;""),"",I407-TODAY())</f>
        <v/>
      </c>
      <c r="P407" s="51"/>
      <c r="Q407" s="51"/>
      <c r="R407" s="51"/>
      <c r="S407" s="50"/>
      <c r="T407" s="50"/>
      <c r="U407" s="52"/>
      <c r="V407" s="58" t="n">
        <f aca="false">IF(OR(B407="",I407="",F407="",F407=Cadastros!$E$4,F407=Cadastros!$E$9),999999,IF(COUNTIFS($B$5:$B$504,B407,$I$5:$I$504,"&gt;"&amp;I407)=0,YEAR(I407)*12+MONTH(I407),999999))</f>
        <v>999999</v>
      </c>
      <c r="W407" s="58" t="n">
        <f aca="false">IF(U407="",999999,YEAR(U407)*12+MONTH(U407))</f>
        <v>999999</v>
      </c>
      <c r="X407" s="58" t="n">
        <f aca="false">IF(F407=Cadastros!$E$6,3,IF(F407=Cadastros!$E$7,6,IF(F407=Cadastros!$E$8,12,1)))</f>
        <v>1</v>
      </c>
    </row>
    <row r="408" customFormat="false" ht="15" hidden="false" customHeight="false" outlineLevel="0" collapsed="false">
      <c r="A408" s="49" t="str">
        <f aca="false">IF(B408="","",ROW()-4)</f>
        <v/>
      </c>
      <c r="B408" s="50"/>
      <c r="C408" s="50"/>
      <c r="D408" s="50"/>
      <c r="E408" s="51"/>
      <c r="F408" s="51"/>
      <c r="G408" s="51"/>
      <c r="H408" s="52"/>
      <c r="I408" s="53"/>
      <c r="J408" s="54"/>
      <c r="K408" s="53"/>
      <c r="L408" s="54"/>
      <c r="M408" s="55" t="str">
        <f aca="false">IF(L408="","",L408-J408)</f>
        <v/>
      </c>
      <c r="N408" s="56" t="str">
        <f aca="true">IF(I408="","",IF(K408&lt;&gt;"","PAGO",IF(I408&lt;TODAY(),"VENCIDO",IF(I408=TODAY(),"VENCE HOJE","A VENCER"))))</f>
        <v/>
      </c>
      <c r="O408" s="57" t="str">
        <f aca="true">IF(OR(I408="",K408&lt;&gt;""),"",I408-TODAY())</f>
        <v/>
      </c>
      <c r="P408" s="51"/>
      <c r="Q408" s="51"/>
      <c r="R408" s="51"/>
      <c r="S408" s="50"/>
      <c r="T408" s="50"/>
      <c r="U408" s="52"/>
      <c r="V408" s="58" t="n">
        <f aca="false">IF(OR(B408="",I408="",F408="",F408=Cadastros!$E$4,F408=Cadastros!$E$9),999999,IF(COUNTIFS($B$5:$B$504,B408,$I$5:$I$504,"&gt;"&amp;I408)=0,YEAR(I408)*12+MONTH(I408),999999))</f>
        <v>999999</v>
      </c>
      <c r="W408" s="58" t="n">
        <f aca="false">IF(U408="",999999,YEAR(U408)*12+MONTH(U408))</f>
        <v>999999</v>
      </c>
      <c r="X408" s="58" t="n">
        <f aca="false">IF(F408=Cadastros!$E$6,3,IF(F408=Cadastros!$E$7,6,IF(F408=Cadastros!$E$8,12,1)))</f>
        <v>1</v>
      </c>
    </row>
    <row r="409" customFormat="false" ht="15" hidden="false" customHeight="false" outlineLevel="0" collapsed="false">
      <c r="A409" s="49" t="str">
        <f aca="false">IF(B409="","",ROW()-4)</f>
        <v/>
      </c>
      <c r="B409" s="50"/>
      <c r="C409" s="50"/>
      <c r="D409" s="50"/>
      <c r="E409" s="51"/>
      <c r="F409" s="51"/>
      <c r="G409" s="51"/>
      <c r="H409" s="52"/>
      <c r="I409" s="53"/>
      <c r="J409" s="54"/>
      <c r="K409" s="53"/>
      <c r="L409" s="54"/>
      <c r="M409" s="55" t="str">
        <f aca="false">IF(L409="","",L409-J409)</f>
        <v/>
      </c>
      <c r="N409" s="56" t="str">
        <f aca="true">IF(I409="","",IF(K409&lt;&gt;"","PAGO",IF(I409&lt;TODAY(),"VENCIDO",IF(I409=TODAY(),"VENCE HOJE","A VENCER"))))</f>
        <v/>
      </c>
      <c r="O409" s="57" t="str">
        <f aca="true">IF(OR(I409="",K409&lt;&gt;""),"",I409-TODAY())</f>
        <v/>
      </c>
      <c r="P409" s="51"/>
      <c r="Q409" s="51"/>
      <c r="R409" s="51"/>
      <c r="S409" s="50"/>
      <c r="T409" s="50"/>
      <c r="U409" s="52"/>
      <c r="V409" s="58" t="n">
        <f aca="false">IF(OR(B409="",I409="",F409="",F409=Cadastros!$E$4,F409=Cadastros!$E$9),999999,IF(COUNTIFS($B$5:$B$504,B409,$I$5:$I$504,"&gt;"&amp;I409)=0,YEAR(I409)*12+MONTH(I409),999999))</f>
        <v>999999</v>
      </c>
      <c r="W409" s="58" t="n">
        <f aca="false">IF(U409="",999999,YEAR(U409)*12+MONTH(U409))</f>
        <v>999999</v>
      </c>
      <c r="X409" s="58" t="n">
        <f aca="false">IF(F409=Cadastros!$E$6,3,IF(F409=Cadastros!$E$7,6,IF(F409=Cadastros!$E$8,12,1)))</f>
        <v>1</v>
      </c>
    </row>
    <row r="410" customFormat="false" ht="15" hidden="false" customHeight="false" outlineLevel="0" collapsed="false">
      <c r="A410" s="49" t="str">
        <f aca="false">IF(B410="","",ROW()-4)</f>
        <v/>
      </c>
      <c r="B410" s="50"/>
      <c r="C410" s="50"/>
      <c r="D410" s="50"/>
      <c r="E410" s="51"/>
      <c r="F410" s="51"/>
      <c r="G410" s="51"/>
      <c r="H410" s="52"/>
      <c r="I410" s="53"/>
      <c r="J410" s="54"/>
      <c r="K410" s="53"/>
      <c r="L410" s="54"/>
      <c r="M410" s="55" t="str">
        <f aca="false">IF(L410="","",L410-J410)</f>
        <v/>
      </c>
      <c r="N410" s="56" t="str">
        <f aca="true">IF(I410="","",IF(K410&lt;&gt;"","PAGO",IF(I410&lt;TODAY(),"VENCIDO",IF(I410=TODAY(),"VENCE HOJE","A VENCER"))))</f>
        <v/>
      </c>
      <c r="O410" s="57" t="str">
        <f aca="true">IF(OR(I410="",K410&lt;&gt;""),"",I410-TODAY())</f>
        <v/>
      </c>
      <c r="P410" s="51"/>
      <c r="Q410" s="51"/>
      <c r="R410" s="51"/>
      <c r="S410" s="50"/>
      <c r="T410" s="50"/>
      <c r="U410" s="52"/>
      <c r="V410" s="58" t="n">
        <f aca="false">IF(OR(B410="",I410="",F410="",F410=Cadastros!$E$4,F410=Cadastros!$E$9),999999,IF(COUNTIFS($B$5:$B$504,B410,$I$5:$I$504,"&gt;"&amp;I410)=0,YEAR(I410)*12+MONTH(I410),999999))</f>
        <v>999999</v>
      </c>
      <c r="W410" s="58" t="n">
        <f aca="false">IF(U410="",999999,YEAR(U410)*12+MONTH(U410))</f>
        <v>999999</v>
      </c>
      <c r="X410" s="58" t="n">
        <f aca="false">IF(F410=Cadastros!$E$6,3,IF(F410=Cadastros!$E$7,6,IF(F410=Cadastros!$E$8,12,1)))</f>
        <v>1</v>
      </c>
    </row>
    <row r="411" customFormat="false" ht="15" hidden="false" customHeight="false" outlineLevel="0" collapsed="false">
      <c r="A411" s="49" t="str">
        <f aca="false">IF(B411="","",ROW()-4)</f>
        <v/>
      </c>
      <c r="B411" s="50"/>
      <c r="C411" s="50"/>
      <c r="D411" s="50"/>
      <c r="E411" s="51"/>
      <c r="F411" s="51"/>
      <c r="G411" s="51"/>
      <c r="H411" s="52"/>
      <c r="I411" s="53"/>
      <c r="J411" s="54"/>
      <c r="K411" s="53"/>
      <c r="L411" s="54"/>
      <c r="M411" s="55" t="str">
        <f aca="false">IF(L411="","",L411-J411)</f>
        <v/>
      </c>
      <c r="N411" s="56" t="str">
        <f aca="true">IF(I411="","",IF(K411&lt;&gt;"","PAGO",IF(I411&lt;TODAY(),"VENCIDO",IF(I411=TODAY(),"VENCE HOJE","A VENCER"))))</f>
        <v/>
      </c>
      <c r="O411" s="57" t="str">
        <f aca="true">IF(OR(I411="",K411&lt;&gt;""),"",I411-TODAY())</f>
        <v/>
      </c>
      <c r="P411" s="51"/>
      <c r="Q411" s="51"/>
      <c r="R411" s="51"/>
      <c r="S411" s="50"/>
      <c r="T411" s="50"/>
      <c r="U411" s="52"/>
      <c r="V411" s="58" t="n">
        <f aca="false">IF(OR(B411="",I411="",F411="",F411=Cadastros!$E$4,F411=Cadastros!$E$9),999999,IF(COUNTIFS($B$5:$B$504,B411,$I$5:$I$504,"&gt;"&amp;I411)=0,YEAR(I411)*12+MONTH(I411),999999))</f>
        <v>999999</v>
      </c>
      <c r="W411" s="58" t="n">
        <f aca="false">IF(U411="",999999,YEAR(U411)*12+MONTH(U411))</f>
        <v>999999</v>
      </c>
      <c r="X411" s="58" t="n">
        <f aca="false">IF(F411=Cadastros!$E$6,3,IF(F411=Cadastros!$E$7,6,IF(F411=Cadastros!$E$8,12,1)))</f>
        <v>1</v>
      </c>
    </row>
    <row r="412" customFormat="false" ht="15" hidden="false" customHeight="false" outlineLevel="0" collapsed="false">
      <c r="A412" s="49" t="str">
        <f aca="false">IF(B412="","",ROW()-4)</f>
        <v/>
      </c>
      <c r="B412" s="50"/>
      <c r="C412" s="50"/>
      <c r="D412" s="50"/>
      <c r="E412" s="51"/>
      <c r="F412" s="51"/>
      <c r="G412" s="51"/>
      <c r="H412" s="52"/>
      <c r="I412" s="53"/>
      <c r="J412" s="54"/>
      <c r="K412" s="53"/>
      <c r="L412" s="54"/>
      <c r="M412" s="55" t="str">
        <f aca="false">IF(L412="","",L412-J412)</f>
        <v/>
      </c>
      <c r="N412" s="56" t="str">
        <f aca="true">IF(I412="","",IF(K412&lt;&gt;"","PAGO",IF(I412&lt;TODAY(),"VENCIDO",IF(I412=TODAY(),"VENCE HOJE","A VENCER"))))</f>
        <v/>
      </c>
      <c r="O412" s="57" t="str">
        <f aca="true">IF(OR(I412="",K412&lt;&gt;""),"",I412-TODAY())</f>
        <v/>
      </c>
      <c r="P412" s="51"/>
      <c r="Q412" s="51"/>
      <c r="R412" s="51"/>
      <c r="S412" s="50"/>
      <c r="T412" s="50"/>
      <c r="U412" s="52"/>
      <c r="V412" s="58" t="n">
        <f aca="false">IF(OR(B412="",I412="",F412="",F412=Cadastros!$E$4,F412=Cadastros!$E$9),999999,IF(COUNTIFS($B$5:$B$504,B412,$I$5:$I$504,"&gt;"&amp;I412)=0,YEAR(I412)*12+MONTH(I412),999999))</f>
        <v>999999</v>
      </c>
      <c r="W412" s="58" t="n">
        <f aca="false">IF(U412="",999999,YEAR(U412)*12+MONTH(U412))</f>
        <v>999999</v>
      </c>
      <c r="X412" s="58" t="n">
        <f aca="false">IF(F412=Cadastros!$E$6,3,IF(F412=Cadastros!$E$7,6,IF(F412=Cadastros!$E$8,12,1)))</f>
        <v>1</v>
      </c>
    </row>
    <row r="413" customFormat="false" ht="15" hidden="false" customHeight="false" outlineLevel="0" collapsed="false">
      <c r="A413" s="49" t="str">
        <f aca="false">IF(B413="","",ROW()-4)</f>
        <v/>
      </c>
      <c r="B413" s="50"/>
      <c r="C413" s="50"/>
      <c r="D413" s="50"/>
      <c r="E413" s="51"/>
      <c r="F413" s="51"/>
      <c r="G413" s="51"/>
      <c r="H413" s="52"/>
      <c r="I413" s="53"/>
      <c r="J413" s="54"/>
      <c r="K413" s="53"/>
      <c r="L413" s="54"/>
      <c r="M413" s="55" t="str">
        <f aca="false">IF(L413="","",L413-J413)</f>
        <v/>
      </c>
      <c r="N413" s="56" t="str">
        <f aca="true">IF(I413="","",IF(K413&lt;&gt;"","PAGO",IF(I413&lt;TODAY(),"VENCIDO",IF(I413=TODAY(),"VENCE HOJE","A VENCER"))))</f>
        <v/>
      </c>
      <c r="O413" s="57" t="str">
        <f aca="true">IF(OR(I413="",K413&lt;&gt;""),"",I413-TODAY())</f>
        <v/>
      </c>
      <c r="P413" s="51"/>
      <c r="Q413" s="51"/>
      <c r="R413" s="51"/>
      <c r="S413" s="50"/>
      <c r="T413" s="50"/>
      <c r="U413" s="52"/>
      <c r="V413" s="58" t="n">
        <f aca="false">IF(OR(B413="",I413="",F413="",F413=Cadastros!$E$4,F413=Cadastros!$E$9),999999,IF(COUNTIFS($B$5:$B$504,B413,$I$5:$I$504,"&gt;"&amp;I413)=0,YEAR(I413)*12+MONTH(I413),999999))</f>
        <v>999999</v>
      </c>
      <c r="W413" s="58" t="n">
        <f aca="false">IF(U413="",999999,YEAR(U413)*12+MONTH(U413))</f>
        <v>999999</v>
      </c>
      <c r="X413" s="58" t="n">
        <f aca="false">IF(F413=Cadastros!$E$6,3,IF(F413=Cadastros!$E$7,6,IF(F413=Cadastros!$E$8,12,1)))</f>
        <v>1</v>
      </c>
    </row>
    <row r="414" customFormat="false" ht="15" hidden="false" customHeight="false" outlineLevel="0" collapsed="false">
      <c r="A414" s="49" t="str">
        <f aca="false">IF(B414="","",ROW()-4)</f>
        <v/>
      </c>
      <c r="B414" s="50"/>
      <c r="C414" s="50"/>
      <c r="D414" s="50"/>
      <c r="E414" s="51"/>
      <c r="F414" s="51"/>
      <c r="G414" s="51"/>
      <c r="H414" s="52"/>
      <c r="I414" s="53"/>
      <c r="J414" s="54"/>
      <c r="K414" s="53"/>
      <c r="L414" s="54"/>
      <c r="M414" s="55" t="str">
        <f aca="false">IF(L414="","",L414-J414)</f>
        <v/>
      </c>
      <c r="N414" s="56" t="str">
        <f aca="true">IF(I414="","",IF(K414&lt;&gt;"","PAGO",IF(I414&lt;TODAY(),"VENCIDO",IF(I414=TODAY(),"VENCE HOJE","A VENCER"))))</f>
        <v/>
      </c>
      <c r="O414" s="57" t="str">
        <f aca="true">IF(OR(I414="",K414&lt;&gt;""),"",I414-TODAY())</f>
        <v/>
      </c>
      <c r="P414" s="51"/>
      <c r="Q414" s="51"/>
      <c r="R414" s="51"/>
      <c r="S414" s="50"/>
      <c r="T414" s="50"/>
      <c r="U414" s="52"/>
      <c r="V414" s="58" t="n">
        <f aca="false">IF(OR(B414="",I414="",F414="",F414=Cadastros!$E$4,F414=Cadastros!$E$9),999999,IF(COUNTIFS($B$5:$B$504,B414,$I$5:$I$504,"&gt;"&amp;I414)=0,YEAR(I414)*12+MONTH(I414),999999))</f>
        <v>999999</v>
      </c>
      <c r="W414" s="58" t="n">
        <f aca="false">IF(U414="",999999,YEAR(U414)*12+MONTH(U414))</f>
        <v>999999</v>
      </c>
      <c r="X414" s="58" t="n">
        <f aca="false">IF(F414=Cadastros!$E$6,3,IF(F414=Cadastros!$E$7,6,IF(F414=Cadastros!$E$8,12,1)))</f>
        <v>1</v>
      </c>
    </row>
    <row r="415" customFormat="false" ht="15" hidden="false" customHeight="false" outlineLevel="0" collapsed="false">
      <c r="A415" s="49" t="str">
        <f aca="false">IF(B415="","",ROW()-4)</f>
        <v/>
      </c>
      <c r="B415" s="50"/>
      <c r="C415" s="50"/>
      <c r="D415" s="50"/>
      <c r="E415" s="51"/>
      <c r="F415" s="51"/>
      <c r="G415" s="51"/>
      <c r="H415" s="52"/>
      <c r="I415" s="53"/>
      <c r="J415" s="54"/>
      <c r="K415" s="53"/>
      <c r="L415" s="54"/>
      <c r="M415" s="55" t="str">
        <f aca="false">IF(L415="","",L415-J415)</f>
        <v/>
      </c>
      <c r="N415" s="56" t="str">
        <f aca="true">IF(I415="","",IF(K415&lt;&gt;"","PAGO",IF(I415&lt;TODAY(),"VENCIDO",IF(I415=TODAY(),"VENCE HOJE","A VENCER"))))</f>
        <v/>
      </c>
      <c r="O415" s="57" t="str">
        <f aca="true">IF(OR(I415="",K415&lt;&gt;""),"",I415-TODAY())</f>
        <v/>
      </c>
      <c r="P415" s="51"/>
      <c r="Q415" s="51"/>
      <c r="R415" s="51"/>
      <c r="S415" s="50"/>
      <c r="T415" s="50"/>
      <c r="U415" s="52"/>
      <c r="V415" s="58" t="n">
        <f aca="false">IF(OR(B415="",I415="",F415="",F415=Cadastros!$E$4,F415=Cadastros!$E$9),999999,IF(COUNTIFS($B$5:$B$504,B415,$I$5:$I$504,"&gt;"&amp;I415)=0,YEAR(I415)*12+MONTH(I415),999999))</f>
        <v>999999</v>
      </c>
      <c r="W415" s="58" t="n">
        <f aca="false">IF(U415="",999999,YEAR(U415)*12+MONTH(U415))</f>
        <v>999999</v>
      </c>
      <c r="X415" s="58" t="n">
        <f aca="false">IF(F415=Cadastros!$E$6,3,IF(F415=Cadastros!$E$7,6,IF(F415=Cadastros!$E$8,12,1)))</f>
        <v>1</v>
      </c>
    </row>
    <row r="416" customFormat="false" ht="15" hidden="false" customHeight="false" outlineLevel="0" collapsed="false">
      <c r="A416" s="49" t="str">
        <f aca="false">IF(B416="","",ROW()-4)</f>
        <v/>
      </c>
      <c r="B416" s="50"/>
      <c r="C416" s="50"/>
      <c r="D416" s="50"/>
      <c r="E416" s="51"/>
      <c r="F416" s="51"/>
      <c r="G416" s="51"/>
      <c r="H416" s="52"/>
      <c r="I416" s="53"/>
      <c r="J416" s="54"/>
      <c r="K416" s="53"/>
      <c r="L416" s="54"/>
      <c r="M416" s="55" t="str">
        <f aca="false">IF(L416="","",L416-J416)</f>
        <v/>
      </c>
      <c r="N416" s="56" t="str">
        <f aca="true">IF(I416="","",IF(K416&lt;&gt;"","PAGO",IF(I416&lt;TODAY(),"VENCIDO",IF(I416=TODAY(),"VENCE HOJE","A VENCER"))))</f>
        <v/>
      </c>
      <c r="O416" s="57" t="str">
        <f aca="true">IF(OR(I416="",K416&lt;&gt;""),"",I416-TODAY())</f>
        <v/>
      </c>
      <c r="P416" s="51"/>
      <c r="Q416" s="51"/>
      <c r="R416" s="51"/>
      <c r="S416" s="50"/>
      <c r="T416" s="50"/>
      <c r="U416" s="52"/>
      <c r="V416" s="58" t="n">
        <f aca="false">IF(OR(B416="",I416="",F416="",F416=Cadastros!$E$4,F416=Cadastros!$E$9),999999,IF(COUNTIFS($B$5:$B$504,B416,$I$5:$I$504,"&gt;"&amp;I416)=0,YEAR(I416)*12+MONTH(I416),999999))</f>
        <v>999999</v>
      </c>
      <c r="W416" s="58" t="n">
        <f aca="false">IF(U416="",999999,YEAR(U416)*12+MONTH(U416))</f>
        <v>999999</v>
      </c>
      <c r="X416" s="58" t="n">
        <f aca="false">IF(F416=Cadastros!$E$6,3,IF(F416=Cadastros!$E$7,6,IF(F416=Cadastros!$E$8,12,1)))</f>
        <v>1</v>
      </c>
    </row>
    <row r="417" customFormat="false" ht="15" hidden="false" customHeight="false" outlineLevel="0" collapsed="false">
      <c r="A417" s="49" t="str">
        <f aca="false">IF(B417="","",ROW()-4)</f>
        <v/>
      </c>
      <c r="B417" s="50"/>
      <c r="C417" s="50"/>
      <c r="D417" s="50"/>
      <c r="E417" s="51"/>
      <c r="F417" s="51"/>
      <c r="G417" s="51"/>
      <c r="H417" s="52"/>
      <c r="I417" s="53"/>
      <c r="J417" s="54"/>
      <c r="K417" s="53"/>
      <c r="L417" s="54"/>
      <c r="M417" s="55" t="str">
        <f aca="false">IF(L417="","",L417-J417)</f>
        <v/>
      </c>
      <c r="N417" s="56" t="str">
        <f aca="true">IF(I417="","",IF(K417&lt;&gt;"","PAGO",IF(I417&lt;TODAY(),"VENCIDO",IF(I417=TODAY(),"VENCE HOJE","A VENCER"))))</f>
        <v/>
      </c>
      <c r="O417" s="57" t="str">
        <f aca="true">IF(OR(I417="",K417&lt;&gt;""),"",I417-TODAY())</f>
        <v/>
      </c>
      <c r="P417" s="51"/>
      <c r="Q417" s="51"/>
      <c r="R417" s="51"/>
      <c r="S417" s="50"/>
      <c r="T417" s="50"/>
      <c r="U417" s="52"/>
      <c r="V417" s="58" t="n">
        <f aca="false">IF(OR(B417="",I417="",F417="",F417=Cadastros!$E$4,F417=Cadastros!$E$9),999999,IF(COUNTIFS($B$5:$B$504,B417,$I$5:$I$504,"&gt;"&amp;I417)=0,YEAR(I417)*12+MONTH(I417),999999))</f>
        <v>999999</v>
      </c>
      <c r="W417" s="58" t="n">
        <f aca="false">IF(U417="",999999,YEAR(U417)*12+MONTH(U417))</f>
        <v>999999</v>
      </c>
      <c r="X417" s="58" t="n">
        <f aca="false">IF(F417=Cadastros!$E$6,3,IF(F417=Cadastros!$E$7,6,IF(F417=Cadastros!$E$8,12,1)))</f>
        <v>1</v>
      </c>
    </row>
    <row r="418" customFormat="false" ht="15" hidden="false" customHeight="false" outlineLevel="0" collapsed="false">
      <c r="A418" s="49" t="str">
        <f aca="false">IF(B418="","",ROW()-4)</f>
        <v/>
      </c>
      <c r="B418" s="50"/>
      <c r="C418" s="50"/>
      <c r="D418" s="50"/>
      <c r="E418" s="51"/>
      <c r="F418" s="51"/>
      <c r="G418" s="51"/>
      <c r="H418" s="52"/>
      <c r="I418" s="53"/>
      <c r="J418" s="54"/>
      <c r="K418" s="53"/>
      <c r="L418" s="54"/>
      <c r="M418" s="55" t="str">
        <f aca="false">IF(L418="","",L418-J418)</f>
        <v/>
      </c>
      <c r="N418" s="56" t="str">
        <f aca="true">IF(I418="","",IF(K418&lt;&gt;"","PAGO",IF(I418&lt;TODAY(),"VENCIDO",IF(I418=TODAY(),"VENCE HOJE","A VENCER"))))</f>
        <v/>
      </c>
      <c r="O418" s="57" t="str">
        <f aca="true">IF(OR(I418="",K418&lt;&gt;""),"",I418-TODAY())</f>
        <v/>
      </c>
      <c r="P418" s="51"/>
      <c r="Q418" s="51"/>
      <c r="R418" s="51"/>
      <c r="S418" s="50"/>
      <c r="T418" s="50"/>
      <c r="U418" s="52"/>
      <c r="V418" s="58" t="n">
        <f aca="false">IF(OR(B418="",I418="",F418="",F418=Cadastros!$E$4,F418=Cadastros!$E$9),999999,IF(COUNTIFS($B$5:$B$504,B418,$I$5:$I$504,"&gt;"&amp;I418)=0,YEAR(I418)*12+MONTH(I418),999999))</f>
        <v>999999</v>
      </c>
      <c r="W418" s="58" t="n">
        <f aca="false">IF(U418="",999999,YEAR(U418)*12+MONTH(U418))</f>
        <v>999999</v>
      </c>
      <c r="X418" s="58" t="n">
        <f aca="false">IF(F418=Cadastros!$E$6,3,IF(F418=Cadastros!$E$7,6,IF(F418=Cadastros!$E$8,12,1)))</f>
        <v>1</v>
      </c>
    </row>
    <row r="419" customFormat="false" ht="15" hidden="false" customHeight="false" outlineLevel="0" collapsed="false">
      <c r="A419" s="49" t="str">
        <f aca="false">IF(B419="","",ROW()-4)</f>
        <v/>
      </c>
      <c r="B419" s="50"/>
      <c r="C419" s="50"/>
      <c r="D419" s="50"/>
      <c r="E419" s="51"/>
      <c r="F419" s="51"/>
      <c r="G419" s="51"/>
      <c r="H419" s="52"/>
      <c r="I419" s="53"/>
      <c r="J419" s="54"/>
      <c r="K419" s="53"/>
      <c r="L419" s="54"/>
      <c r="M419" s="55" t="str">
        <f aca="false">IF(L419="","",L419-J419)</f>
        <v/>
      </c>
      <c r="N419" s="56" t="str">
        <f aca="true">IF(I419="","",IF(K419&lt;&gt;"","PAGO",IF(I419&lt;TODAY(),"VENCIDO",IF(I419=TODAY(),"VENCE HOJE","A VENCER"))))</f>
        <v/>
      </c>
      <c r="O419" s="57" t="str">
        <f aca="true">IF(OR(I419="",K419&lt;&gt;""),"",I419-TODAY())</f>
        <v/>
      </c>
      <c r="P419" s="51"/>
      <c r="Q419" s="51"/>
      <c r="R419" s="51"/>
      <c r="S419" s="50"/>
      <c r="T419" s="50"/>
      <c r="U419" s="52"/>
      <c r="V419" s="58" t="n">
        <f aca="false">IF(OR(B419="",I419="",F419="",F419=Cadastros!$E$4,F419=Cadastros!$E$9),999999,IF(COUNTIFS($B$5:$B$504,B419,$I$5:$I$504,"&gt;"&amp;I419)=0,YEAR(I419)*12+MONTH(I419),999999))</f>
        <v>999999</v>
      </c>
      <c r="W419" s="58" t="n">
        <f aca="false">IF(U419="",999999,YEAR(U419)*12+MONTH(U419))</f>
        <v>999999</v>
      </c>
      <c r="X419" s="58" t="n">
        <f aca="false">IF(F419=Cadastros!$E$6,3,IF(F419=Cadastros!$E$7,6,IF(F419=Cadastros!$E$8,12,1)))</f>
        <v>1</v>
      </c>
    </row>
    <row r="420" customFormat="false" ht="15" hidden="false" customHeight="false" outlineLevel="0" collapsed="false">
      <c r="A420" s="49" t="str">
        <f aca="false">IF(B420="","",ROW()-4)</f>
        <v/>
      </c>
      <c r="B420" s="50"/>
      <c r="C420" s="50"/>
      <c r="D420" s="50"/>
      <c r="E420" s="51"/>
      <c r="F420" s="51"/>
      <c r="G420" s="51"/>
      <c r="H420" s="52"/>
      <c r="I420" s="53"/>
      <c r="J420" s="54"/>
      <c r="K420" s="53"/>
      <c r="L420" s="54"/>
      <c r="M420" s="55" t="str">
        <f aca="false">IF(L420="","",L420-J420)</f>
        <v/>
      </c>
      <c r="N420" s="56" t="str">
        <f aca="true">IF(I420="","",IF(K420&lt;&gt;"","PAGO",IF(I420&lt;TODAY(),"VENCIDO",IF(I420=TODAY(),"VENCE HOJE","A VENCER"))))</f>
        <v/>
      </c>
      <c r="O420" s="57" t="str">
        <f aca="true">IF(OR(I420="",K420&lt;&gt;""),"",I420-TODAY())</f>
        <v/>
      </c>
      <c r="P420" s="51"/>
      <c r="Q420" s="51"/>
      <c r="R420" s="51"/>
      <c r="S420" s="50"/>
      <c r="T420" s="50"/>
      <c r="U420" s="52"/>
      <c r="V420" s="58" t="n">
        <f aca="false">IF(OR(B420="",I420="",F420="",F420=Cadastros!$E$4,F420=Cadastros!$E$9),999999,IF(COUNTIFS($B$5:$B$504,B420,$I$5:$I$504,"&gt;"&amp;I420)=0,YEAR(I420)*12+MONTH(I420),999999))</f>
        <v>999999</v>
      </c>
      <c r="W420" s="58" t="n">
        <f aca="false">IF(U420="",999999,YEAR(U420)*12+MONTH(U420))</f>
        <v>999999</v>
      </c>
      <c r="X420" s="58" t="n">
        <f aca="false">IF(F420=Cadastros!$E$6,3,IF(F420=Cadastros!$E$7,6,IF(F420=Cadastros!$E$8,12,1)))</f>
        <v>1</v>
      </c>
    </row>
    <row r="421" customFormat="false" ht="15" hidden="false" customHeight="false" outlineLevel="0" collapsed="false">
      <c r="A421" s="49" t="str">
        <f aca="false">IF(B421="","",ROW()-4)</f>
        <v/>
      </c>
      <c r="B421" s="50"/>
      <c r="C421" s="50"/>
      <c r="D421" s="50"/>
      <c r="E421" s="51"/>
      <c r="F421" s="51"/>
      <c r="G421" s="51"/>
      <c r="H421" s="52"/>
      <c r="I421" s="53"/>
      <c r="J421" s="54"/>
      <c r="K421" s="53"/>
      <c r="L421" s="54"/>
      <c r="M421" s="55" t="str">
        <f aca="false">IF(L421="","",L421-J421)</f>
        <v/>
      </c>
      <c r="N421" s="56" t="str">
        <f aca="true">IF(I421="","",IF(K421&lt;&gt;"","PAGO",IF(I421&lt;TODAY(),"VENCIDO",IF(I421=TODAY(),"VENCE HOJE","A VENCER"))))</f>
        <v/>
      </c>
      <c r="O421" s="57" t="str">
        <f aca="true">IF(OR(I421="",K421&lt;&gt;""),"",I421-TODAY())</f>
        <v/>
      </c>
      <c r="P421" s="51"/>
      <c r="Q421" s="51"/>
      <c r="R421" s="51"/>
      <c r="S421" s="50"/>
      <c r="T421" s="50"/>
      <c r="U421" s="52"/>
      <c r="V421" s="58" t="n">
        <f aca="false">IF(OR(B421="",I421="",F421="",F421=Cadastros!$E$4,F421=Cadastros!$E$9),999999,IF(COUNTIFS($B$5:$B$504,B421,$I$5:$I$504,"&gt;"&amp;I421)=0,YEAR(I421)*12+MONTH(I421),999999))</f>
        <v>999999</v>
      </c>
      <c r="W421" s="58" t="n">
        <f aca="false">IF(U421="",999999,YEAR(U421)*12+MONTH(U421))</f>
        <v>999999</v>
      </c>
      <c r="X421" s="58" t="n">
        <f aca="false">IF(F421=Cadastros!$E$6,3,IF(F421=Cadastros!$E$7,6,IF(F421=Cadastros!$E$8,12,1)))</f>
        <v>1</v>
      </c>
    </row>
    <row r="422" customFormat="false" ht="15" hidden="false" customHeight="false" outlineLevel="0" collapsed="false">
      <c r="A422" s="49" t="str">
        <f aca="false">IF(B422="","",ROW()-4)</f>
        <v/>
      </c>
      <c r="B422" s="50"/>
      <c r="C422" s="50"/>
      <c r="D422" s="50"/>
      <c r="E422" s="51"/>
      <c r="F422" s="51"/>
      <c r="G422" s="51"/>
      <c r="H422" s="52"/>
      <c r="I422" s="53"/>
      <c r="J422" s="54"/>
      <c r="K422" s="53"/>
      <c r="L422" s="54"/>
      <c r="M422" s="55" t="str">
        <f aca="false">IF(L422="","",L422-J422)</f>
        <v/>
      </c>
      <c r="N422" s="56" t="str">
        <f aca="true">IF(I422="","",IF(K422&lt;&gt;"","PAGO",IF(I422&lt;TODAY(),"VENCIDO",IF(I422=TODAY(),"VENCE HOJE","A VENCER"))))</f>
        <v/>
      </c>
      <c r="O422" s="57" t="str">
        <f aca="true">IF(OR(I422="",K422&lt;&gt;""),"",I422-TODAY())</f>
        <v/>
      </c>
      <c r="P422" s="51"/>
      <c r="Q422" s="51"/>
      <c r="R422" s="51"/>
      <c r="S422" s="50"/>
      <c r="T422" s="50"/>
      <c r="U422" s="52"/>
      <c r="V422" s="58" t="n">
        <f aca="false">IF(OR(B422="",I422="",F422="",F422=Cadastros!$E$4,F422=Cadastros!$E$9),999999,IF(COUNTIFS($B$5:$B$504,B422,$I$5:$I$504,"&gt;"&amp;I422)=0,YEAR(I422)*12+MONTH(I422),999999))</f>
        <v>999999</v>
      </c>
      <c r="W422" s="58" t="n">
        <f aca="false">IF(U422="",999999,YEAR(U422)*12+MONTH(U422))</f>
        <v>999999</v>
      </c>
      <c r="X422" s="58" t="n">
        <f aca="false">IF(F422=Cadastros!$E$6,3,IF(F422=Cadastros!$E$7,6,IF(F422=Cadastros!$E$8,12,1)))</f>
        <v>1</v>
      </c>
    </row>
    <row r="423" customFormat="false" ht="15" hidden="false" customHeight="false" outlineLevel="0" collapsed="false">
      <c r="A423" s="49" t="str">
        <f aca="false">IF(B423="","",ROW()-4)</f>
        <v/>
      </c>
      <c r="B423" s="50"/>
      <c r="C423" s="50"/>
      <c r="D423" s="50"/>
      <c r="E423" s="51"/>
      <c r="F423" s="51"/>
      <c r="G423" s="51"/>
      <c r="H423" s="52"/>
      <c r="I423" s="53"/>
      <c r="J423" s="54"/>
      <c r="K423" s="53"/>
      <c r="L423" s="54"/>
      <c r="M423" s="55" t="str">
        <f aca="false">IF(L423="","",L423-J423)</f>
        <v/>
      </c>
      <c r="N423" s="56" t="str">
        <f aca="true">IF(I423="","",IF(K423&lt;&gt;"","PAGO",IF(I423&lt;TODAY(),"VENCIDO",IF(I423=TODAY(),"VENCE HOJE","A VENCER"))))</f>
        <v/>
      </c>
      <c r="O423" s="57" t="str">
        <f aca="true">IF(OR(I423="",K423&lt;&gt;""),"",I423-TODAY())</f>
        <v/>
      </c>
      <c r="P423" s="51"/>
      <c r="Q423" s="51"/>
      <c r="R423" s="51"/>
      <c r="S423" s="50"/>
      <c r="T423" s="50"/>
      <c r="U423" s="52"/>
      <c r="V423" s="58" t="n">
        <f aca="false">IF(OR(B423="",I423="",F423="",F423=Cadastros!$E$4,F423=Cadastros!$E$9),999999,IF(COUNTIFS($B$5:$B$504,B423,$I$5:$I$504,"&gt;"&amp;I423)=0,YEAR(I423)*12+MONTH(I423),999999))</f>
        <v>999999</v>
      </c>
      <c r="W423" s="58" t="n">
        <f aca="false">IF(U423="",999999,YEAR(U423)*12+MONTH(U423))</f>
        <v>999999</v>
      </c>
      <c r="X423" s="58" t="n">
        <f aca="false">IF(F423=Cadastros!$E$6,3,IF(F423=Cadastros!$E$7,6,IF(F423=Cadastros!$E$8,12,1)))</f>
        <v>1</v>
      </c>
    </row>
    <row r="424" customFormat="false" ht="15" hidden="false" customHeight="false" outlineLevel="0" collapsed="false">
      <c r="A424" s="49" t="str">
        <f aca="false">IF(B424="","",ROW()-4)</f>
        <v/>
      </c>
      <c r="B424" s="50"/>
      <c r="C424" s="50"/>
      <c r="D424" s="50"/>
      <c r="E424" s="51"/>
      <c r="F424" s="51"/>
      <c r="G424" s="51"/>
      <c r="H424" s="52"/>
      <c r="I424" s="53"/>
      <c r="J424" s="54"/>
      <c r="K424" s="53"/>
      <c r="L424" s="54"/>
      <c r="M424" s="55" t="str">
        <f aca="false">IF(L424="","",L424-J424)</f>
        <v/>
      </c>
      <c r="N424" s="56" t="str">
        <f aca="true">IF(I424="","",IF(K424&lt;&gt;"","PAGO",IF(I424&lt;TODAY(),"VENCIDO",IF(I424=TODAY(),"VENCE HOJE","A VENCER"))))</f>
        <v/>
      </c>
      <c r="O424" s="57" t="str">
        <f aca="true">IF(OR(I424="",K424&lt;&gt;""),"",I424-TODAY())</f>
        <v/>
      </c>
      <c r="P424" s="51"/>
      <c r="Q424" s="51"/>
      <c r="R424" s="51"/>
      <c r="S424" s="50"/>
      <c r="T424" s="50"/>
      <c r="U424" s="52"/>
      <c r="V424" s="58" t="n">
        <f aca="false">IF(OR(B424="",I424="",F424="",F424=Cadastros!$E$4,F424=Cadastros!$E$9),999999,IF(COUNTIFS($B$5:$B$504,B424,$I$5:$I$504,"&gt;"&amp;I424)=0,YEAR(I424)*12+MONTH(I424),999999))</f>
        <v>999999</v>
      </c>
      <c r="W424" s="58" t="n">
        <f aca="false">IF(U424="",999999,YEAR(U424)*12+MONTH(U424))</f>
        <v>999999</v>
      </c>
      <c r="X424" s="58" t="n">
        <f aca="false">IF(F424=Cadastros!$E$6,3,IF(F424=Cadastros!$E$7,6,IF(F424=Cadastros!$E$8,12,1)))</f>
        <v>1</v>
      </c>
    </row>
    <row r="425" customFormat="false" ht="15" hidden="false" customHeight="false" outlineLevel="0" collapsed="false">
      <c r="A425" s="49" t="str">
        <f aca="false">IF(B425="","",ROW()-4)</f>
        <v/>
      </c>
      <c r="B425" s="50"/>
      <c r="C425" s="50"/>
      <c r="D425" s="50"/>
      <c r="E425" s="51"/>
      <c r="F425" s="51"/>
      <c r="G425" s="51"/>
      <c r="H425" s="52"/>
      <c r="I425" s="53"/>
      <c r="J425" s="54"/>
      <c r="K425" s="53"/>
      <c r="L425" s="54"/>
      <c r="M425" s="55" t="str">
        <f aca="false">IF(L425="","",L425-J425)</f>
        <v/>
      </c>
      <c r="N425" s="56" t="str">
        <f aca="true">IF(I425="","",IF(K425&lt;&gt;"","PAGO",IF(I425&lt;TODAY(),"VENCIDO",IF(I425=TODAY(),"VENCE HOJE","A VENCER"))))</f>
        <v/>
      </c>
      <c r="O425" s="57" t="str">
        <f aca="true">IF(OR(I425="",K425&lt;&gt;""),"",I425-TODAY())</f>
        <v/>
      </c>
      <c r="P425" s="51"/>
      <c r="Q425" s="51"/>
      <c r="R425" s="51"/>
      <c r="S425" s="50"/>
      <c r="T425" s="50"/>
      <c r="U425" s="52"/>
      <c r="V425" s="58" t="n">
        <f aca="false">IF(OR(B425="",I425="",F425="",F425=Cadastros!$E$4,F425=Cadastros!$E$9),999999,IF(COUNTIFS($B$5:$B$504,B425,$I$5:$I$504,"&gt;"&amp;I425)=0,YEAR(I425)*12+MONTH(I425),999999))</f>
        <v>999999</v>
      </c>
      <c r="W425" s="58" t="n">
        <f aca="false">IF(U425="",999999,YEAR(U425)*12+MONTH(U425))</f>
        <v>999999</v>
      </c>
      <c r="X425" s="58" t="n">
        <f aca="false">IF(F425=Cadastros!$E$6,3,IF(F425=Cadastros!$E$7,6,IF(F425=Cadastros!$E$8,12,1)))</f>
        <v>1</v>
      </c>
    </row>
    <row r="426" customFormat="false" ht="15" hidden="false" customHeight="false" outlineLevel="0" collapsed="false">
      <c r="A426" s="49" t="str">
        <f aca="false">IF(B426="","",ROW()-4)</f>
        <v/>
      </c>
      <c r="B426" s="50"/>
      <c r="C426" s="50"/>
      <c r="D426" s="50"/>
      <c r="E426" s="51"/>
      <c r="F426" s="51"/>
      <c r="G426" s="51"/>
      <c r="H426" s="52"/>
      <c r="I426" s="53"/>
      <c r="J426" s="54"/>
      <c r="K426" s="53"/>
      <c r="L426" s="54"/>
      <c r="M426" s="55" t="str">
        <f aca="false">IF(L426="","",L426-J426)</f>
        <v/>
      </c>
      <c r="N426" s="56" t="str">
        <f aca="true">IF(I426="","",IF(K426&lt;&gt;"","PAGO",IF(I426&lt;TODAY(),"VENCIDO",IF(I426=TODAY(),"VENCE HOJE","A VENCER"))))</f>
        <v/>
      </c>
      <c r="O426" s="57" t="str">
        <f aca="true">IF(OR(I426="",K426&lt;&gt;""),"",I426-TODAY())</f>
        <v/>
      </c>
      <c r="P426" s="51"/>
      <c r="Q426" s="51"/>
      <c r="R426" s="51"/>
      <c r="S426" s="50"/>
      <c r="T426" s="50"/>
      <c r="U426" s="52"/>
      <c r="V426" s="58" t="n">
        <f aca="false">IF(OR(B426="",I426="",F426="",F426=Cadastros!$E$4,F426=Cadastros!$E$9),999999,IF(COUNTIFS($B$5:$B$504,B426,$I$5:$I$504,"&gt;"&amp;I426)=0,YEAR(I426)*12+MONTH(I426),999999))</f>
        <v>999999</v>
      </c>
      <c r="W426" s="58" t="n">
        <f aca="false">IF(U426="",999999,YEAR(U426)*12+MONTH(U426))</f>
        <v>999999</v>
      </c>
      <c r="X426" s="58" t="n">
        <f aca="false">IF(F426=Cadastros!$E$6,3,IF(F426=Cadastros!$E$7,6,IF(F426=Cadastros!$E$8,12,1)))</f>
        <v>1</v>
      </c>
    </row>
    <row r="427" customFormat="false" ht="15" hidden="false" customHeight="false" outlineLevel="0" collapsed="false">
      <c r="A427" s="49" t="str">
        <f aca="false">IF(B427="","",ROW()-4)</f>
        <v/>
      </c>
      <c r="B427" s="50"/>
      <c r="C427" s="50"/>
      <c r="D427" s="50"/>
      <c r="E427" s="51"/>
      <c r="F427" s="51"/>
      <c r="G427" s="51"/>
      <c r="H427" s="52"/>
      <c r="I427" s="53"/>
      <c r="J427" s="54"/>
      <c r="K427" s="53"/>
      <c r="L427" s="54"/>
      <c r="M427" s="55" t="str">
        <f aca="false">IF(L427="","",L427-J427)</f>
        <v/>
      </c>
      <c r="N427" s="56" t="str">
        <f aca="true">IF(I427="","",IF(K427&lt;&gt;"","PAGO",IF(I427&lt;TODAY(),"VENCIDO",IF(I427=TODAY(),"VENCE HOJE","A VENCER"))))</f>
        <v/>
      </c>
      <c r="O427" s="57" t="str">
        <f aca="true">IF(OR(I427="",K427&lt;&gt;""),"",I427-TODAY())</f>
        <v/>
      </c>
      <c r="P427" s="51"/>
      <c r="Q427" s="51"/>
      <c r="R427" s="51"/>
      <c r="S427" s="50"/>
      <c r="T427" s="50"/>
      <c r="U427" s="52"/>
      <c r="V427" s="58" t="n">
        <f aca="false">IF(OR(B427="",I427="",F427="",F427=Cadastros!$E$4,F427=Cadastros!$E$9),999999,IF(COUNTIFS($B$5:$B$504,B427,$I$5:$I$504,"&gt;"&amp;I427)=0,YEAR(I427)*12+MONTH(I427),999999))</f>
        <v>999999</v>
      </c>
      <c r="W427" s="58" t="n">
        <f aca="false">IF(U427="",999999,YEAR(U427)*12+MONTH(U427))</f>
        <v>999999</v>
      </c>
      <c r="X427" s="58" t="n">
        <f aca="false">IF(F427=Cadastros!$E$6,3,IF(F427=Cadastros!$E$7,6,IF(F427=Cadastros!$E$8,12,1)))</f>
        <v>1</v>
      </c>
    </row>
    <row r="428" customFormat="false" ht="15" hidden="false" customHeight="false" outlineLevel="0" collapsed="false">
      <c r="A428" s="49" t="str">
        <f aca="false">IF(B428="","",ROW()-4)</f>
        <v/>
      </c>
      <c r="B428" s="50"/>
      <c r="C428" s="50"/>
      <c r="D428" s="50"/>
      <c r="E428" s="51"/>
      <c r="F428" s="51"/>
      <c r="G428" s="51"/>
      <c r="H428" s="52"/>
      <c r="I428" s="53"/>
      <c r="J428" s="54"/>
      <c r="K428" s="53"/>
      <c r="L428" s="54"/>
      <c r="M428" s="55" t="str">
        <f aca="false">IF(L428="","",L428-J428)</f>
        <v/>
      </c>
      <c r="N428" s="56" t="str">
        <f aca="true">IF(I428="","",IF(K428&lt;&gt;"","PAGO",IF(I428&lt;TODAY(),"VENCIDO",IF(I428=TODAY(),"VENCE HOJE","A VENCER"))))</f>
        <v/>
      </c>
      <c r="O428" s="57" t="str">
        <f aca="true">IF(OR(I428="",K428&lt;&gt;""),"",I428-TODAY())</f>
        <v/>
      </c>
      <c r="P428" s="51"/>
      <c r="Q428" s="51"/>
      <c r="R428" s="51"/>
      <c r="S428" s="50"/>
      <c r="T428" s="50"/>
      <c r="U428" s="52"/>
      <c r="V428" s="58" t="n">
        <f aca="false">IF(OR(B428="",I428="",F428="",F428=Cadastros!$E$4,F428=Cadastros!$E$9),999999,IF(COUNTIFS($B$5:$B$504,B428,$I$5:$I$504,"&gt;"&amp;I428)=0,YEAR(I428)*12+MONTH(I428),999999))</f>
        <v>999999</v>
      </c>
      <c r="W428" s="58" t="n">
        <f aca="false">IF(U428="",999999,YEAR(U428)*12+MONTH(U428))</f>
        <v>999999</v>
      </c>
      <c r="X428" s="58" t="n">
        <f aca="false">IF(F428=Cadastros!$E$6,3,IF(F428=Cadastros!$E$7,6,IF(F428=Cadastros!$E$8,12,1)))</f>
        <v>1</v>
      </c>
    </row>
    <row r="429" customFormat="false" ht="15" hidden="false" customHeight="false" outlineLevel="0" collapsed="false">
      <c r="A429" s="49" t="str">
        <f aca="false">IF(B429="","",ROW()-4)</f>
        <v/>
      </c>
      <c r="B429" s="50"/>
      <c r="C429" s="50"/>
      <c r="D429" s="50"/>
      <c r="E429" s="51"/>
      <c r="F429" s="51"/>
      <c r="G429" s="51"/>
      <c r="H429" s="52"/>
      <c r="I429" s="53"/>
      <c r="J429" s="54"/>
      <c r="K429" s="53"/>
      <c r="L429" s="54"/>
      <c r="M429" s="55" t="str">
        <f aca="false">IF(L429="","",L429-J429)</f>
        <v/>
      </c>
      <c r="N429" s="56" t="str">
        <f aca="true">IF(I429="","",IF(K429&lt;&gt;"","PAGO",IF(I429&lt;TODAY(),"VENCIDO",IF(I429=TODAY(),"VENCE HOJE","A VENCER"))))</f>
        <v/>
      </c>
      <c r="O429" s="57" t="str">
        <f aca="true">IF(OR(I429="",K429&lt;&gt;""),"",I429-TODAY())</f>
        <v/>
      </c>
      <c r="P429" s="51"/>
      <c r="Q429" s="51"/>
      <c r="R429" s="51"/>
      <c r="S429" s="50"/>
      <c r="T429" s="50"/>
      <c r="U429" s="52"/>
      <c r="V429" s="58" t="n">
        <f aca="false">IF(OR(B429="",I429="",F429="",F429=Cadastros!$E$4,F429=Cadastros!$E$9),999999,IF(COUNTIFS($B$5:$B$504,B429,$I$5:$I$504,"&gt;"&amp;I429)=0,YEAR(I429)*12+MONTH(I429),999999))</f>
        <v>999999</v>
      </c>
      <c r="W429" s="58" t="n">
        <f aca="false">IF(U429="",999999,YEAR(U429)*12+MONTH(U429))</f>
        <v>999999</v>
      </c>
      <c r="X429" s="58" t="n">
        <f aca="false">IF(F429=Cadastros!$E$6,3,IF(F429=Cadastros!$E$7,6,IF(F429=Cadastros!$E$8,12,1)))</f>
        <v>1</v>
      </c>
    </row>
    <row r="430" customFormat="false" ht="15" hidden="false" customHeight="false" outlineLevel="0" collapsed="false">
      <c r="A430" s="49" t="str">
        <f aca="false">IF(B430="","",ROW()-4)</f>
        <v/>
      </c>
      <c r="B430" s="50"/>
      <c r="C430" s="50"/>
      <c r="D430" s="50"/>
      <c r="E430" s="51"/>
      <c r="F430" s="51"/>
      <c r="G430" s="51"/>
      <c r="H430" s="52"/>
      <c r="I430" s="53"/>
      <c r="J430" s="54"/>
      <c r="K430" s="53"/>
      <c r="L430" s="54"/>
      <c r="M430" s="55" t="str">
        <f aca="false">IF(L430="","",L430-J430)</f>
        <v/>
      </c>
      <c r="N430" s="56" t="str">
        <f aca="true">IF(I430="","",IF(K430&lt;&gt;"","PAGO",IF(I430&lt;TODAY(),"VENCIDO",IF(I430=TODAY(),"VENCE HOJE","A VENCER"))))</f>
        <v/>
      </c>
      <c r="O430" s="57" t="str">
        <f aca="true">IF(OR(I430="",K430&lt;&gt;""),"",I430-TODAY())</f>
        <v/>
      </c>
      <c r="P430" s="51"/>
      <c r="Q430" s="51"/>
      <c r="R430" s="51"/>
      <c r="S430" s="50"/>
      <c r="T430" s="50"/>
      <c r="U430" s="52"/>
      <c r="V430" s="58" t="n">
        <f aca="false">IF(OR(B430="",I430="",F430="",F430=Cadastros!$E$4,F430=Cadastros!$E$9),999999,IF(COUNTIFS($B$5:$B$504,B430,$I$5:$I$504,"&gt;"&amp;I430)=0,YEAR(I430)*12+MONTH(I430),999999))</f>
        <v>999999</v>
      </c>
      <c r="W430" s="58" t="n">
        <f aca="false">IF(U430="",999999,YEAR(U430)*12+MONTH(U430))</f>
        <v>999999</v>
      </c>
      <c r="X430" s="58" t="n">
        <f aca="false">IF(F430=Cadastros!$E$6,3,IF(F430=Cadastros!$E$7,6,IF(F430=Cadastros!$E$8,12,1)))</f>
        <v>1</v>
      </c>
    </row>
    <row r="431" customFormat="false" ht="15" hidden="false" customHeight="false" outlineLevel="0" collapsed="false">
      <c r="A431" s="49" t="str">
        <f aca="false">IF(B431="","",ROW()-4)</f>
        <v/>
      </c>
      <c r="B431" s="50"/>
      <c r="C431" s="50"/>
      <c r="D431" s="50"/>
      <c r="E431" s="51"/>
      <c r="F431" s="51"/>
      <c r="G431" s="51"/>
      <c r="H431" s="52"/>
      <c r="I431" s="53"/>
      <c r="J431" s="54"/>
      <c r="K431" s="53"/>
      <c r="L431" s="54"/>
      <c r="M431" s="55" t="str">
        <f aca="false">IF(L431="","",L431-J431)</f>
        <v/>
      </c>
      <c r="N431" s="56" t="str">
        <f aca="true">IF(I431="","",IF(K431&lt;&gt;"","PAGO",IF(I431&lt;TODAY(),"VENCIDO",IF(I431=TODAY(),"VENCE HOJE","A VENCER"))))</f>
        <v/>
      </c>
      <c r="O431" s="57" t="str">
        <f aca="true">IF(OR(I431="",K431&lt;&gt;""),"",I431-TODAY())</f>
        <v/>
      </c>
      <c r="P431" s="51"/>
      <c r="Q431" s="51"/>
      <c r="R431" s="51"/>
      <c r="S431" s="50"/>
      <c r="T431" s="50"/>
      <c r="U431" s="52"/>
      <c r="V431" s="58" t="n">
        <f aca="false">IF(OR(B431="",I431="",F431="",F431=Cadastros!$E$4,F431=Cadastros!$E$9),999999,IF(COUNTIFS($B$5:$B$504,B431,$I$5:$I$504,"&gt;"&amp;I431)=0,YEAR(I431)*12+MONTH(I431),999999))</f>
        <v>999999</v>
      </c>
      <c r="W431" s="58" t="n">
        <f aca="false">IF(U431="",999999,YEAR(U431)*12+MONTH(U431))</f>
        <v>999999</v>
      </c>
      <c r="X431" s="58" t="n">
        <f aca="false">IF(F431=Cadastros!$E$6,3,IF(F431=Cadastros!$E$7,6,IF(F431=Cadastros!$E$8,12,1)))</f>
        <v>1</v>
      </c>
    </row>
    <row r="432" customFormat="false" ht="15" hidden="false" customHeight="false" outlineLevel="0" collapsed="false">
      <c r="A432" s="49" t="str">
        <f aca="false">IF(B432="","",ROW()-4)</f>
        <v/>
      </c>
      <c r="B432" s="50"/>
      <c r="C432" s="50"/>
      <c r="D432" s="50"/>
      <c r="E432" s="51"/>
      <c r="F432" s="51"/>
      <c r="G432" s="51"/>
      <c r="H432" s="52"/>
      <c r="I432" s="53"/>
      <c r="J432" s="54"/>
      <c r="K432" s="53"/>
      <c r="L432" s="54"/>
      <c r="M432" s="55" t="str">
        <f aca="false">IF(L432="","",L432-J432)</f>
        <v/>
      </c>
      <c r="N432" s="56" t="str">
        <f aca="true">IF(I432="","",IF(K432&lt;&gt;"","PAGO",IF(I432&lt;TODAY(),"VENCIDO",IF(I432=TODAY(),"VENCE HOJE","A VENCER"))))</f>
        <v/>
      </c>
      <c r="O432" s="57" t="str">
        <f aca="true">IF(OR(I432="",K432&lt;&gt;""),"",I432-TODAY())</f>
        <v/>
      </c>
      <c r="P432" s="51"/>
      <c r="Q432" s="51"/>
      <c r="R432" s="51"/>
      <c r="S432" s="50"/>
      <c r="T432" s="50"/>
      <c r="U432" s="52"/>
      <c r="V432" s="58" t="n">
        <f aca="false">IF(OR(B432="",I432="",F432="",F432=Cadastros!$E$4,F432=Cadastros!$E$9),999999,IF(COUNTIFS($B$5:$B$504,B432,$I$5:$I$504,"&gt;"&amp;I432)=0,YEAR(I432)*12+MONTH(I432),999999))</f>
        <v>999999</v>
      </c>
      <c r="W432" s="58" t="n">
        <f aca="false">IF(U432="",999999,YEAR(U432)*12+MONTH(U432))</f>
        <v>999999</v>
      </c>
      <c r="X432" s="58" t="n">
        <f aca="false">IF(F432=Cadastros!$E$6,3,IF(F432=Cadastros!$E$7,6,IF(F432=Cadastros!$E$8,12,1)))</f>
        <v>1</v>
      </c>
    </row>
    <row r="433" customFormat="false" ht="15" hidden="false" customHeight="false" outlineLevel="0" collapsed="false">
      <c r="A433" s="49" t="str">
        <f aca="false">IF(B433="","",ROW()-4)</f>
        <v/>
      </c>
      <c r="B433" s="50"/>
      <c r="C433" s="50"/>
      <c r="D433" s="50"/>
      <c r="E433" s="51"/>
      <c r="F433" s="51"/>
      <c r="G433" s="51"/>
      <c r="H433" s="52"/>
      <c r="I433" s="53"/>
      <c r="J433" s="54"/>
      <c r="K433" s="53"/>
      <c r="L433" s="54"/>
      <c r="M433" s="55" t="str">
        <f aca="false">IF(L433="","",L433-J433)</f>
        <v/>
      </c>
      <c r="N433" s="56" t="str">
        <f aca="true">IF(I433="","",IF(K433&lt;&gt;"","PAGO",IF(I433&lt;TODAY(),"VENCIDO",IF(I433=TODAY(),"VENCE HOJE","A VENCER"))))</f>
        <v/>
      </c>
      <c r="O433" s="57" t="str">
        <f aca="true">IF(OR(I433="",K433&lt;&gt;""),"",I433-TODAY())</f>
        <v/>
      </c>
      <c r="P433" s="51"/>
      <c r="Q433" s="51"/>
      <c r="R433" s="51"/>
      <c r="S433" s="50"/>
      <c r="T433" s="50"/>
      <c r="U433" s="52"/>
      <c r="V433" s="58" t="n">
        <f aca="false">IF(OR(B433="",I433="",F433="",F433=Cadastros!$E$4,F433=Cadastros!$E$9),999999,IF(COUNTIFS($B$5:$B$504,B433,$I$5:$I$504,"&gt;"&amp;I433)=0,YEAR(I433)*12+MONTH(I433),999999))</f>
        <v>999999</v>
      </c>
      <c r="W433" s="58" t="n">
        <f aca="false">IF(U433="",999999,YEAR(U433)*12+MONTH(U433))</f>
        <v>999999</v>
      </c>
      <c r="X433" s="58" t="n">
        <f aca="false">IF(F433=Cadastros!$E$6,3,IF(F433=Cadastros!$E$7,6,IF(F433=Cadastros!$E$8,12,1)))</f>
        <v>1</v>
      </c>
    </row>
    <row r="434" customFormat="false" ht="15" hidden="false" customHeight="false" outlineLevel="0" collapsed="false">
      <c r="A434" s="49" t="str">
        <f aca="false">IF(B434="","",ROW()-4)</f>
        <v/>
      </c>
      <c r="B434" s="50"/>
      <c r="C434" s="50"/>
      <c r="D434" s="50"/>
      <c r="E434" s="51"/>
      <c r="F434" s="51"/>
      <c r="G434" s="51"/>
      <c r="H434" s="52"/>
      <c r="I434" s="53"/>
      <c r="J434" s="54"/>
      <c r="K434" s="53"/>
      <c r="L434" s="54"/>
      <c r="M434" s="55" t="str">
        <f aca="false">IF(L434="","",L434-J434)</f>
        <v/>
      </c>
      <c r="N434" s="56" t="str">
        <f aca="true">IF(I434="","",IF(K434&lt;&gt;"","PAGO",IF(I434&lt;TODAY(),"VENCIDO",IF(I434=TODAY(),"VENCE HOJE","A VENCER"))))</f>
        <v/>
      </c>
      <c r="O434" s="57" t="str">
        <f aca="true">IF(OR(I434="",K434&lt;&gt;""),"",I434-TODAY())</f>
        <v/>
      </c>
      <c r="P434" s="51"/>
      <c r="Q434" s="51"/>
      <c r="R434" s="51"/>
      <c r="S434" s="50"/>
      <c r="T434" s="50"/>
      <c r="U434" s="52"/>
      <c r="V434" s="58" t="n">
        <f aca="false">IF(OR(B434="",I434="",F434="",F434=Cadastros!$E$4,F434=Cadastros!$E$9),999999,IF(COUNTIFS($B$5:$B$504,B434,$I$5:$I$504,"&gt;"&amp;I434)=0,YEAR(I434)*12+MONTH(I434),999999))</f>
        <v>999999</v>
      </c>
      <c r="W434" s="58" t="n">
        <f aca="false">IF(U434="",999999,YEAR(U434)*12+MONTH(U434))</f>
        <v>999999</v>
      </c>
      <c r="X434" s="58" t="n">
        <f aca="false">IF(F434=Cadastros!$E$6,3,IF(F434=Cadastros!$E$7,6,IF(F434=Cadastros!$E$8,12,1)))</f>
        <v>1</v>
      </c>
    </row>
    <row r="435" customFormat="false" ht="15" hidden="false" customHeight="false" outlineLevel="0" collapsed="false">
      <c r="A435" s="49" t="str">
        <f aca="false">IF(B435="","",ROW()-4)</f>
        <v/>
      </c>
      <c r="B435" s="50"/>
      <c r="C435" s="50"/>
      <c r="D435" s="50"/>
      <c r="E435" s="51"/>
      <c r="F435" s="51"/>
      <c r="G435" s="51"/>
      <c r="H435" s="52"/>
      <c r="I435" s="53"/>
      <c r="J435" s="54"/>
      <c r="K435" s="53"/>
      <c r="L435" s="54"/>
      <c r="M435" s="55" t="str">
        <f aca="false">IF(L435="","",L435-J435)</f>
        <v/>
      </c>
      <c r="N435" s="56" t="str">
        <f aca="true">IF(I435="","",IF(K435&lt;&gt;"","PAGO",IF(I435&lt;TODAY(),"VENCIDO",IF(I435=TODAY(),"VENCE HOJE","A VENCER"))))</f>
        <v/>
      </c>
      <c r="O435" s="57" t="str">
        <f aca="true">IF(OR(I435="",K435&lt;&gt;""),"",I435-TODAY())</f>
        <v/>
      </c>
      <c r="P435" s="51"/>
      <c r="Q435" s="51"/>
      <c r="R435" s="51"/>
      <c r="S435" s="50"/>
      <c r="T435" s="50"/>
      <c r="U435" s="52"/>
      <c r="V435" s="58" t="n">
        <f aca="false">IF(OR(B435="",I435="",F435="",F435=Cadastros!$E$4,F435=Cadastros!$E$9),999999,IF(COUNTIFS($B$5:$B$504,B435,$I$5:$I$504,"&gt;"&amp;I435)=0,YEAR(I435)*12+MONTH(I435),999999))</f>
        <v>999999</v>
      </c>
      <c r="W435" s="58" t="n">
        <f aca="false">IF(U435="",999999,YEAR(U435)*12+MONTH(U435))</f>
        <v>999999</v>
      </c>
      <c r="X435" s="58" t="n">
        <f aca="false">IF(F435=Cadastros!$E$6,3,IF(F435=Cadastros!$E$7,6,IF(F435=Cadastros!$E$8,12,1)))</f>
        <v>1</v>
      </c>
    </row>
    <row r="436" customFormat="false" ht="15" hidden="false" customHeight="false" outlineLevel="0" collapsed="false">
      <c r="A436" s="49" t="str">
        <f aca="false">IF(B436="","",ROW()-4)</f>
        <v/>
      </c>
      <c r="B436" s="50"/>
      <c r="C436" s="50"/>
      <c r="D436" s="50"/>
      <c r="E436" s="51"/>
      <c r="F436" s="51"/>
      <c r="G436" s="51"/>
      <c r="H436" s="52"/>
      <c r="I436" s="53"/>
      <c r="J436" s="54"/>
      <c r="K436" s="53"/>
      <c r="L436" s="54"/>
      <c r="M436" s="55" t="str">
        <f aca="false">IF(L436="","",L436-J436)</f>
        <v/>
      </c>
      <c r="N436" s="56" t="str">
        <f aca="true">IF(I436="","",IF(K436&lt;&gt;"","PAGO",IF(I436&lt;TODAY(),"VENCIDO",IF(I436=TODAY(),"VENCE HOJE","A VENCER"))))</f>
        <v/>
      </c>
      <c r="O436" s="57" t="str">
        <f aca="true">IF(OR(I436="",K436&lt;&gt;""),"",I436-TODAY())</f>
        <v/>
      </c>
      <c r="P436" s="51"/>
      <c r="Q436" s="51"/>
      <c r="R436" s="51"/>
      <c r="S436" s="50"/>
      <c r="T436" s="50"/>
      <c r="U436" s="52"/>
      <c r="V436" s="58" t="n">
        <f aca="false">IF(OR(B436="",I436="",F436="",F436=Cadastros!$E$4,F436=Cadastros!$E$9),999999,IF(COUNTIFS($B$5:$B$504,B436,$I$5:$I$504,"&gt;"&amp;I436)=0,YEAR(I436)*12+MONTH(I436),999999))</f>
        <v>999999</v>
      </c>
      <c r="W436" s="58" t="n">
        <f aca="false">IF(U436="",999999,YEAR(U436)*12+MONTH(U436))</f>
        <v>999999</v>
      </c>
      <c r="X436" s="58" t="n">
        <f aca="false">IF(F436=Cadastros!$E$6,3,IF(F436=Cadastros!$E$7,6,IF(F436=Cadastros!$E$8,12,1)))</f>
        <v>1</v>
      </c>
    </row>
    <row r="437" customFormat="false" ht="15" hidden="false" customHeight="false" outlineLevel="0" collapsed="false">
      <c r="A437" s="49" t="str">
        <f aca="false">IF(B437="","",ROW()-4)</f>
        <v/>
      </c>
      <c r="B437" s="50"/>
      <c r="C437" s="50"/>
      <c r="D437" s="50"/>
      <c r="E437" s="51"/>
      <c r="F437" s="51"/>
      <c r="G437" s="51"/>
      <c r="H437" s="52"/>
      <c r="I437" s="53"/>
      <c r="J437" s="54"/>
      <c r="K437" s="53"/>
      <c r="L437" s="54"/>
      <c r="M437" s="55" t="str">
        <f aca="false">IF(L437="","",L437-J437)</f>
        <v/>
      </c>
      <c r="N437" s="56" t="str">
        <f aca="true">IF(I437="","",IF(K437&lt;&gt;"","PAGO",IF(I437&lt;TODAY(),"VENCIDO",IF(I437=TODAY(),"VENCE HOJE","A VENCER"))))</f>
        <v/>
      </c>
      <c r="O437" s="57" t="str">
        <f aca="true">IF(OR(I437="",K437&lt;&gt;""),"",I437-TODAY())</f>
        <v/>
      </c>
      <c r="P437" s="51"/>
      <c r="Q437" s="51"/>
      <c r="R437" s="51"/>
      <c r="S437" s="50"/>
      <c r="T437" s="50"/>
      <c r="U437" s="52"/>
      <c r="V437" s="58" t="n">
        <f aca="false">IF(OR(B437="",I437="",F437="",F437=Cadastros!$E$4,F437=Cadastros!$E$9),999999,IF(COUNTIFS($B$5:$B$504,B437,$I$5:$I$504,"&gt;"&amp;I437)=0,YEAR(I437)*12+MONTH(I437),999999))</f>
        <v>999999</v>
      </c>
      <c r="W437" s="58" t="n">
        <f aca="false">IF(U437="",999999,YEAR(U437)*12+MONTH(U437))</f>
        <v>999999</v>
      </c>
      <c r="X437" s="58" t="n">
        <f aca="false">IF(F437=Cadastros!$E$6,3,IF(F437=Cadastros!$E$7,6,IF(F437=Cadastros!$E$8,12,1)))</f>
        <v>1</v>
      </c>
    </row>
    <row r="438" customFormat="false" ht="15" hidden="false" customHeight="false" outlineLevel="0" collapsed="false">
      <c r="A438" s="49" t="str">
        <f aca="false">IF(B438="","",ROW()-4)</f>
        <v/>
      </c>
      <c r="B438" s="50"/>
      <c r="C438" s="50"/>
      <c r="D438" s="50"/>
      <c r="E438" s="51"/>
      <c r="F438" s="51"/>
      <c r="G438" s="51"/>
      <c r="H438" s="52"/>
      <c r="I438" s="53"/>
      <c r="J438" s="54"/>
      <c r="K438" s="53"/>
      <c r="L438" s="54"/>
      <c r="M438" s="55" t="str">
        <f aca="false">IF(L438="","",L438-J438)</f>
        <v/>
      </c>
      <c r="N438" s="56" t="str">
        <f aca="true">IF(I438="","",IF(K438&lt;&gt;"","PAGO",IF(I438&lt;TODAY(),"VENCIDO",IF(I438=TODAY(),"VENCE HOJE","A VENCER"))))</f>
        <v/>
      </c>
      <c r="O438" s="57" t="str">
        <f aca="true">IF(OR(I438="",K438&lt;&gt;""),"",I438-TODAY())</f>
        <v/>
      </c>
      <c r="P438" s="51"/>
      <c r="Q438" s="51"/>
      <c r="R438" s="51"/>
      <c r="S438" s="50"/>
      <c r="T438" s="50"/>
      <c r="U438" s="52"/>
      <c r="V438" s="58" t="n">
        <f aca="false">IF(OR(B438="",I438="",F438="",F438=Cadastros!$E$4,F438=Cadastros!$E$9),999999,IF(COUNTIFS($B$5:$B$504,B438,$I$5:$I$504,"&gt;"&amp;I438)=0,YEAR(I438)*12+MONTH(I438),999999))</f>
        <v>999999</v>
      </c>
      <c r="W438" s="58" t="n">
        <f aca="false">IF(U438="",999999,YEAR(U438)*12+MONTH(U438))</f>
        <v>999999</v>
      </c>
      <c r="X438" s="58" t="n">
        <f aca="false">IF(F438=Cadastros!$E$6,3,IF(F438=Cadastros!$E$7,6,IF(F438=Cadastros!$E$8,12,1)))</f>
        <v>1</v>
      </c>
    </row>
    <row r="439" customFormat="false" ht="15" hidden="false" customHeight="false" outlineLevel="0" collapsed="false">
      <c r="A439" s="49" t="str">
        <f aca="false">IF(B439="","",ROW()-4)</f>
        <v/>
      </c>
      <c r="B439" s="50"/>
      <c r="C439" s="50"/>
      <c r="D439" s="50"/>
      <c r="E439" s="51"/>
      <c r="F439" s="51"/>
      <c r="G439" s="51"/>
      <c r="H439" s="52"/>
      <c r="I439" s="53"/>
      <c r="J439" s="54"/>
      <c r="K439" s="53"/>
      <c r="L439" s="54"/>
      <c r="M439" s="55" t="str">
        <f aca="false">IF(L439="","",L439-J439)</f>
        <v/>
      </c>
      <c r="N439" s="56" t="str">
        <f aca="true">IF(I439="","",IF(K439&lt;&gt;"","PAGO",IF(I439&lt;TODAY(),"VENCIDO",IF(I439=TODAY(),"VENCE HOJE","A VENCER"))))</f>
        <v/>
      </c>
      <c r="O439" s="57" t="str">
        <f aca="true">IF(OR(I439="",K439&lt;&gt;""),"",I439-TODAY())</f>
        <v/>
      </c>
      <c r="P439" s="51"/>
      <c r="Q439" s="51"/>
      <c r="R439" s="51"/>
      <c r="S439" s="50"/>
      <c r="T439" s="50"/>
      <c r="U439" s="52"/>
      <c r="V439" s="58" t="n">
        <f aca="false">IF(OR(B439="",I439="",F439="",F439=Cadastros!$E$4,F439=Cadastros!$E$9),999999,IF(COUNTIFS($B$5:$B$504,B439,$I$5:$I$504,"&gt;"&amp;I439)=0,YEAR(I439)*12+MONTH(I439),999999))</f>
        <v>999999</v>
      </c>
      <c r="W439" s="58" t="n">
        <f aca="false">IF(U439="",999999,YEAR(U439)*12+MONTH(U439))</f>
        <v>999999</v>
      </c>
      <c r="X439" s="58" t="n">
        <f aca="false">IF(F439=Cadastros!$E$6,3,IF(F439=Cadastros!$E$7,6,IF(F439=Cadastros!$E$8,12,1)))</f>
        <v>1</v>
      </c>
    </row>
    <row r="440" customFormat="false" ht="15" hidden="false" customHeight="false" outlineLevel="0" collapsed="false">
      <c r="A440" s="49" t="str">
        <f aca="false">IF(B440="","",ROW()-4)</f>
        <v/>
      </c>
      <c r="B440" s="50"/>
      <c r="C440" s="50"/>
      <c r="D440" s="50"/>
      <c r="E440" s="51"/>
      <c r="F440" s="51"/>
      <c r="G440" s="51"/>
      <c r="H440" s="52"/>
      <c r="I440" s="53"/>
      <c r="J440" s="54"/>
      <c r="K440" s="53"/>
      <c r="L440" s="54"/>
      <c r="M440" s="55" t="str">
        <f aca="false">IF(L440="","",L440-J440)</f>
        <v/>
      </c>
      <c r="N440" s="56" t="str">
        <f aca="true">IF(I440="","",IF(K440&lt;&gt;"","PAGO",IF(I440&lt;TODAY(),"VENCIDO",IF(I440=TODAY(),"VENCE HOJE","A VENCER"))))</f>
        <v/>
      </c>
      <c r="O440" s="57" t="str">
        <f aca="true">IF(OR(I440="",K440&lt;&gt;""),"",I440-TODAY())</f>
        <v/>
      </c>
      <c r="P440" s="51"/>
      <c r="Q440" s="51"/>
      <c r="R440" s="51"/>
      <c r="S440" s="50"/>
      <c r="T440" s="50"/>
      <c r="U440" s="52"/>
      <c r="V440" s="58" t="n">
        <f aca="false">IF(OR(B440="",I440="",F440="",F440=Cadastros!$E$4,F440=Cadastros!$E$9),999999,IF(COUNTIFS($B$5:$B$504,B440,$I$5:$I$504,"&gt;"&amp;I440)=0,YEAR(I440)*12+MONTH(I440),999999))</f>
        <v>999999</v>
      </c>
      <c r="W440" s="58" t="n">
        <f aca="false">IF(U440="",999999,YEAR(U440)*12+MONTH(U440))</f>
        <v>999999</v>
      </c>
      <c r="X440" s="58" t="n">
        <f aca="false">IF(F440=Cadastros!$E$6,3,IF(F440=Cadastros!$E$7,6,IF(F440=Cadastros!$E$8,12,1)))</f>
        <v>1</v>
      </c>
    </row>
    <row r="441" customFormat="false" ht="15" hidden="false" customHeight="false" outlineLevel="0" collapsed="false">
      <c r="A441" s="49" t="str">
        <f aca="false">IF(B441="","",ROW()-4)</f>
        <v/>
      </c>
      <c r="B441" s="50"/>
      <c r="C441" s="50"/>
      <c r="D441" s="50"/>
      <c r="E441" s="51"/>
      <c r="F441" s="51"/>
      <c r="G441" s="51"/>
      <c r="H441" s="52"/>
      <c r="I441" s="53"/>
      <c r="J441" s="54"/>
      <c r="K441" s="53"/>
      <c r="L441" s="54"/>
      <c r="M441" s="55" t="str">
        <f aca="false">IF(L441="","",L441-J441)</f>
        <v/>
      </c>
      <c r="N441" s="56" t="str">
        <f aca="true">IF(I441="","",IF(K441&lt;&gt;"","PAGO",IF(I441&lt;TODAY(),"VENCIDO",IF(I441=TODAY(),"VENCE HOJE","A VENCER"))))</f>
        <v/>
      </c>
      <c r="O441" s="57" t="str">
        <f aca="true">IF(OR(I441="",K441&lt;&gt;""),"",I441-TODAY())</f>
        <v/>
      </c>
      <c r="P441" s="51"/>
      <c r="Q441" s="51"/>
      <c r="R441" s="51"/>
      <c r="S441" s="50"/>
      <c r="T441" s="50"/>
      <c r="U441" s="52"/>
      <c r="V441" s="58" t="n">
        <f aca="false">IF(OR(B441="",I441="",F441="",F441=Cadastros!$E$4,F441=Cadastros!$E$9),999999,IF(COUNTIFS($B$5:$B$504,B441,$I$5:$I$504,"&gt;"&amp;I441)=0,YEAR(I441)*12+MONTH(I441),999999))</f>
        <v>999999</v>
      </c>
      <c r="W441" s="58" t="n">
        <f aca="false">IF(U441="",999999,YEAR(U441)*12+MONTH(U441))</f>
        <v>999999</v>
      </c>
      <c r="X441" s="58" t="n">
        <f aca="false">IF(F441=Cadastros!$E$6,3,IF(F441=Cadastros!$E$7,6,IF(F441=Cadastros!$E$8,12,1)))</f>
        <v>1</v>
      </c>
    </row>
    <row r="442" customFormat="false" ht="15" hidden="false" customHeight="false" outlineLevel="0" collapsed="false">
      <c r="A442" s="49" t="str">
        <f aca="false">IF(B442="","",ROW()-4)</f>
        <v/>
      </c>
      <c r="B442" s="50"/>
      <c r="C442" s="50"/>
      <c r="D442" s="50"/>
      <c r="E442" s="51"/>
      <c r="F442" s="51"/>
      <c r="G442" s="51"/>
      <c r="H442" s="52"/>
      <c r="I442" s="53"/>
      <c r="J442" s="54"/>
      <c r="K442" s="53"/>
      <c r="L442" s="54"/>
      <c r="M442" s="55" t="str">
        <f aca="false">IF(L442="","",L442-J442)</f>
        <v/>
      </c>
      <c r="N442" s="56" t="str">
        <f aca="true">IF(I442="","",IF(K442&lt;&gt;"","PAGO",IF(I442&lt;TODAY(),"VENCIDO",IF(I442=TODAY(),"VENCE HOJE","A VENCER"))))</f>
        <v/>
      </c>
      <c r="O442" s="57" t="str">
        <f aca="true">IF(OR(I442="",K442&lt;&gt;""),"",I442-TODAY())</f>
        <v/>
      </c>
      <c r="P442" s="51"/>
      <c r="Q442" s="51"/>
      <c r="R442" s="51"/>
      <c r="S442" s="50"/>
      <c r="T442" s="50"/>
      <c r="U442" s="52"/>
      <c r="V442" s="58" t="n">
        <f aca="false">IF(OR(B442="",I442="",F442="",F442=Cadastros!$E$4,F442=Cadastros!$E$9),999999,IF(COUNTIFS($B$5:$B$504,B442,$I$5:$I$504,"&gt;"&amp;I442)=0,YEAR(I442)*12+MONTH(I442),999999))</f>
        <v>999999</v>
      </c>
      <c r="W442" s="58" t="n">
        <f aca="false">IF(U442="",999999,YEAR(U442)*12+MONTH(U442))</f>
        <v>999999</v>
      </c>
      <c r="X442" s="58" t="n">
        <f aca="false">IF(F442=Cadastros!$E$6,3,IF(F442=Cadastros!$E$7,6,IF(F442=Cadastros!$E$8,12,1)))</f>
        <v>1</v>
      </c>
    </row>
    <row r="443" customFormat="false" ht="15" hidden="false" customHeight="false" outlineLevel="0" collapsed="false">
      <c r="A443" s="49" t="str">
        <f aca="false">IF(B443="","",ROW()-4)</f>
        <v/>
      </c>
      <c r="B443" s="50"/>
      <c r="C443" s="50"/>
      <c r="D443" s="50"/>
      <c r="E443" s="51"/>
      <c r="F443" s="51"/>
      <c r="G443" s="51"/>
      <c r="H443" s="52"/>
      <c r="I443" s="53"/>
      <c r="J443" s="54"/>
      <c r="K443" s="53"/>
      <c r="L443" s="54"/>
      <c r="M443" s="55" t="str">
        <f aca="false">IF(L443="","",L443-J443)</f>
        <v/>
      </c>
      <c r="N443" s="56" t="str">
        <f aca="true">IF(I443="","",IF(K443&lt;&gt;"","PAGO",IF(I443&lt;TODAY(),"VENCIDO",IF(I443=TODAY(),"VENCE HOJE","A VENCER"))))</f>
        <v/>
      </c>
      <c r="O443" s="57" t="str">
        <f aca="true">IF(OR(I443="",K443&lt;&gt;""),"",I443-TODAY())</f>
        <v/>
      </c>
      <c r="P443" s="51"/>
      <c r="Q443" s="51"/>
      <c r="R443" s="51"/>
      <c r="S443" s="50"/>
      <c r="T443" s="50"/>
      <c r="U443" s="52"/>
      <c r="V443" s="58" t="n">
        <f aca="false">IF(OR(B443="",I443="",F443="",F443=Cadastros!$E$4,F443=Cadastros!$E$9),999999,IF(COUNTIFS($B$5:$B$504,B443,$I$5:$I$504,"&gt;"&amp;I443)=0,YEAR(I443)*12+MONTH(I443),999999))</f>
        <v>999999</v>
      </c>
      <c r="W443" s="58" t="n">
        <f aca="false">IF(U443="",999999,YEAR(U443)*12+MONTH(U443))</f>
        <v>999999</v>
      </c>
      <c r="X443" s="58" t="n">
        <f aca="false">IF(F443=Cadastros!$E$6,3,IF(F443=Cadastros!$E$7,6,IF(F443=Cadastros!$E$8,12,1)))</f>
        <v>1</v>
      </c>
    </row>
    <row r="444" customFormat="false" ht="15" hidden="false" customHeight="false" outlineLevel="0" collapsed="false">
      <c r="A444" s="49" t="str">
        <f aca="false">IF(B444="","",ROW()-4)</f>
        <v/>
      </c>
      <c r="B444" s="50"/>
      <c r="C444" s="50"/>
      <c r="D444" s="50"/>
      <c r="E444" s="51"/>
      <c r="F444" s="51"/>
      <c r="G444" s="51"/>
      <c r="H444" s="52"/>
      <c r="I444" s="53"/>
      <c r="J444" s="54"/>
      <c r="K444" s="53"/>
      <c r="L444" s="54"/>
      <c r="M444" s="55" t="str">
        <f aca="false">IF(L444="","",L444-J444)</f>
        <v/>
      </c>
      <c r="N444" s="56" t="str">
        <f aca="true">IF(I444="","",IF(K444&lt;&gt;"","PAGO",IF(I444&lt;TODAY(),"VENCIDO",IF(I444=TODAY(),"VENCE HOJE","A VENCER"))))</f>
        <v/>
      </c>
      <c r="O444" s="57" t="str">
        <f aca="true">IF(OR(I444="",K444&lt;&gt;""),"",I444-TODAY())</f>
        <v/>
      </c>
      <c r="P444" s="51"/>
      <c r="Q444" s="51"/>
      <c r="R444" s="51"/>
      <c r="S444" s="50"/>
      <c r="T444" s="50"/>
      <c r="U444" s="52"/>
      <c r="V444" s="58" t="n">
        <f aca="false">IF(OR(B444="",I444="",F444="",F444=Cadastros!$E$4,F444=Cadastros!$E$9),999999,IF(COUNTIFS($B$5:$B$504,B444,$I$5:$I$504,"&gt;"&amp;I444)=0,YEAR(I444)*12+MONTH(I444),999999))</f>
        <v>999999</v>
      </c>
      <c r="W444" s="58" t="n">
        <f aca="false">IF(U444="",999999,YEAR(U444)*12+MONTH(U444))</f>
        <v>999999</v>
      </c>
      <c r="X444" s="58" t="n">
        <f aca="false">IF(F444=Cadastros!$E$6,3,IF(F444=Cadastros!$E$7,6,IF(F444=Cadastros!$E$8,12,1)))</f>
        <v>1</v>
      </c>
    </row>
    <row r="445" customFormat="false" ht="15" hidden="false" customHeight="false" outlineLevel="0" collapsed="false">
      <c r="A445" s="49" t="str">
        <f aca="false">IF(B445="","",ROW()-4)</f>
        <v/>
      </c>
      <c r="B445" s="50"/>
      <c r="C445" s="50"/>
      <c r="D445" s="50"/>
      <c r="E445" s="51"/>
      <c r="F445" s="51"/>
      <c r="G445" s="51"/>
      <c r="H445" s="52"/>
      <c r="I445" s="53"/>
      <c r="J445" s="54"/>
      <c r="K445" s="53"/>
      <c r="L445" s="54"/>
      <c r="M445" s="55" t="str">
        <f aca="false">IF(L445="","",L445-J445)</f>
        <v/>
      </c>
      <c r="N445" s="56" t="str">
        <f aca="true">IF(I445="","",IF(K445&lt;&gt;"","PAGO",IF(I445&lt;TODAY(),"VENCIDO",IF(I445=TODAY(),"VENCE HOJE","A VENCER"))))</f>
        <v/>
      </c>
      <c r="O445" s="57" t="str">
        <f aca="true">IF(OR(I445="",K445&lt;&gt;""),"",I445-TODAY())</f>
        <v/>
      </c>
      <c r="P445" s="51"/>
      <c r="Q445" s="51"/>
      <c r="R445" s="51"/>
      <c r="S445" s="50"/>
      <c r="T445" s="50"/>
      <c r="U445" s="52"/>
      <c r="V445" s="58" t="n">
        <f aca="false">IF(OR(B445="",I445="",F445="",F445=Cadastros!$E$4,F445=Cadastros!$E$9),999999,IF(COUNTIFS($B$5:$B$504,B445,$I$5:$I$504,"&gt;"&amp;I445)=0,YEAR(I445)*12+MONTH(I445),999999))</f>
        <v>999999</v>
      </c>
      <c r="W445" s="58" t="n">
        <f aca="false">IF(U445="",999999,YEAR(U445)*12+MONTH(U445))</f>
        <v>999999</v>
      </c>
      <c r="X445" s="58" t="n">
        <f aca="false">IF(F445=Cadastros!$E$6,3,IF(F445=Cadastros!$E$7,6,IF(F445=Cadastros!$E$8,12,1)))</f>
        <v>1</v>
      </c>
    </row>
    <row r="446" customFormat="false" ht="15" hidden="false" customHeight="false" outlineLevel="0" collapsed="false">
      <c r="A446" s="49" t="str">
        <f aca="false">IF(B446="","",ROW()-4)</f>
        <v/>
      </c>
      <c r="B446" s="50"/>
      <c r="C446" s="50"/>
      <c r="D446" s="50"/>
      <c r="E446" s="51"/>
      <c r="F446" s="51"/>
      <c r="G446" s="51"/>
      <c r="H446" s="52"/>
      <c r="I446" s="53"/>
      <c r="J446" s="54"/>
      <c r="K446" s="53"/>
      <c r="L446" s="54"/>
      <c r="M446" s="55" t="str">
        <f aca="false">IF(L446="","",L446-J446)</f>
        <v/>
      </c>
      <c r="N446" s="56" t="str">
        <f aca="true">IF(I446="","",IF(K446&lt;&gt;"","PAGO",IF(I446&lt;TODAY(),"VENCIDO",IF(I446=TODAY(),"VENCE HOJE","A VENCER"))))</f>
        <v/>
      </c>
      <c r="O446" s="57" t="str">
        <f aca="true">IF(OR(I446="",K446&lt;&gt;""),"",I446-TODAY())</f>
        <v/>
      </c>
      <c r="P446" s="51"/>
      <c r="Q446" s="51"/>
      <c r="R446" s="51"/>
      <c r="S446" s="50"/>
      <c r="T446" s="50"/>
      <c r="U446" s="52"/>
      <c r="V446" s="58" t="n">
        <f aca="false">IF(OR(B446="",I446="",F446="",F446=Cadastros!$E$4,F446=Cadastros!$E$9),999999,IF(COUNTIFS($B$5:$B$504,B446,$I$5:$I$504,"&gt;"&amp;I446)=0,YEAR(I446)*12+MONTH(I446),999999))</f>
        <v>999999</v>
      </c>
      <c r="W446" s="58" t="n">
        <f aca="false">IF(U446="",999999,YEAR(U446)*12+MONTH(U446))</f>
        <v>999999</v>
      </c>
      <c r="X446" s="58" t="n">
        <f aca="false">IF(F446=Cadastros!$E$6,3,IF(F446=Cadastros!$E$7,6,IF(F446=Cadastros!$E$8,12,1)))</f>
        <v>1</v>
      </c>
    </row>
    <row r="447" customFormat="false" ht="15" hidden="false" customHeight="false" outlineLevel="0" collapsed="false">
      <c r="A447" s="49" t="str">
        <f aca="false">IF(B447="","",ROW()-4)</f>
        <v/>
      </c>
      <c r="B447" s="50"/>
      <c r="C447" s="50"/>
      <c r="D447" s="50"/>
      <c r="E447" s="51"/>
      <c r="F447" s="51"/>
      <c r="G447" s="51"/>
      <c r="H447" s="52"/>
      <c r="I447" s="53"/>
      <c r="J447" s="54"/>
      <c r="K447" s="53"/>
      <c r="L447" s="54"/>
      <c r="M447" s="55" t="str">
        <f aca="false">IF(L447="","",L447-J447)</f>
        <v/>
      </c>
      <c r="N447" s="56" t="str">
        <f aca="true">IF(I447="","",IF(K447&lt;&gt;"","PAGO",IF(I447&lt;TODAY(),"VENCIDO",IF(I447=TODAY(),"VENCE HOJE","A VENCER"))))</f>
        <v/>
      </c>
      <c r="O447" s="57" t="str">
        <f aca="true">IF(OR(I447="",K447&lt;&gt;""),"",I447-TODAY())</f>
        <v/>
      </c>
      <c r="P447" s="51"/>
      <c r="Q447" s="51"/>
      <c r="R447" s="51"/>
      <c r="S447" s="50"/>
      <c r="T447" s="50"/>
      <c r="U447" s="52"/>
      <c r="V447" s="58" t="n">
        <f aca="false">IF(OR(B447="",I447="",F447="",F447=Cadastros!$E$4,F447=Cadastros!$E$9),999999,IF(COUNTIFS($B$5:$B$504,B447,$I$5:$I$504,"&gt;"&amp;I447)=0,YEAR(I447)*12+MONTH(I447),999999))</f>
        <v>999999</v>
      </c>
      <c r="W447" s="58" t="n">
        <f aca="false">IF(U447="",999999,YEAR(U447)*12+MONTH(U447))</f>
        <v>999999</v>
      </c>
      <c r="X447" s="58" t="n">
        <f aca="false">IF(F447=Cadastros!$E$6,3,IF(F447=Cadastros!$E$7,6,IF(F447=Cadastros!$E$8,12,1)))</f>
        <v>1</v>
      </c>
    </row>
    <row r="448" customFormat="false" ht="15" hidden="false" customHeight="false" outlineLevel="0" collapsed="false">
      <c r="A448" s="49" t="str">
        <f aca="false">IF(B448="","",ROW()-4)</f>
        <v/>
      </c>
      <c r="B448" s="50"/>
      <c r="C448" s="50"/>
      <c r="D448" s="50"/>
      <c r="E448" s="51"/>
      <c r="F448" s="51"/>
      <c r="G448" s="51"/>
      <c r="H448" s="52"/>
      <c r="I448" s="53"/>
      <c r="J448" s="54"/>
      <c r="K448" s="53"/>
      <c r="L448" s="54"/>
      <c r="M448" s="55" t="str">
        <f aca="false">IF(L448="","",L448-J448)</f>
        <v/>
      </c>
      <c r="N448" s="56" t="str">
        <f aca="true">IF(I448="","",IF(K448&lt;&gt;"","PAGO",IF(I448&lt;TODAY(),"VENCIDO",IF(I448=TODAY(),"VENCE HOJE","A VENCER"))))</f>
        <v/>
      </c>
      <c r="O448" s="57" t="str">
        <f aca="true">IF(OR(I448="",K448&lt;&gt;""),"",I448-TODAY())</f>
        <v/>
      </c>
      <c r="P448" s="51"/>
      <c r="Q448" s="51"/>
      <c r="R448" s="51"/>
      <c r="S448" s="50"/>
      <c r="T448" s="50"/>
      <c r="U448" s="52"/>
      <c r="V448" s="58" t="n">
        <f aca="false">IF(OR(B448="",I448="",F448="",F448=Cadastros!$E$4,F448=Cadastros!$E$9),999999,IF(COUNTIFS($B$5:$B$504,B448,$I$5:$I$504,"&gt;"&amp;I448)=0,YEAR(I448)*12+MONTH(I448),999999))</f>
        <v>999999</v>
      </c>
      <c r="W448" s="58" t="n">
        <f aca="false">IF(U448="",999999,YEAR(U448)*12+MONTH(U448))</f>
        <v>999999</v>
      </c>
      <c r="X448" s="58" t="n">
        <f aca="false">IF(F448=Cadastros!$E$6,3,IF(F448=Cadastros!$E$7,6,IF(F448=Cadastros!$E$8,12,1)))</f>
        <v>1</v>
      </c>
    </row>
    <row r="449" customFormat="false" ht="15" hidden="false" customHeight="false" outlineLevel="0" collapsed="false">
      <c r="A449" s="49" t="str">
        <f aca="false">IF(B449="","",ROW()-4)</f>
        <v/>
      </c>
      <c r="B449" s="50"/>
      <c r="C449" s="50"/>
      <c r="D449" s="50"/>
      <c r="E449" s="51"/>
      <c r="F449" s="51"/>
      <c r="G449" s="51"/>
      <c r="H449" s="52"/>
      <c r="I449" s="53"/>
      <c r="J449" s="54"/>
      <c r="K449" s="53"/>
      <c r="L449" s="54"/>
      <c r="M449" s="55" t="str">
        <f aca="false">IF(L449="","",L449-J449)</f>
        <v/>
      </c>
      <c r="N449" s="56" t="str">
        <f aca="true">IF(I449="","",IF(K449&lt;&gt;"","PAGO",IF(I449&lt;TODAY(),"VENCIDO",IF(I449=TODAY(),"VENCE HOJE","A VENCER"))))</f>
        <v/>
      </c>
      <c r="O449" s="57" t="str">
        <f aca="true">IF(OR(I449="",K449&lt;&gt;""),"",I449-TODAY())</f>
        <v/>
      </c>
      <c r="P449" s="51"/>
      <c r="Q449" s="51"/>
      <c r="R449" s="51"/>
      <c r="S449" s="50"/>
      <c r="T449" s="50"/>
      <c r="U449" s="52"/>
      <c r="V449" s="58" t="n">
        <f aca="false">IF(OR(B449="",I449="",F449="",F449=Cadastros!$E$4,F449=Cadastros!$E$9),999999,IF(COUNTIFS($B$5:$B$504,B449,$I$5:$I$504,"&gt;"&amp;I449)=0,YEAR(I449)*12+MONTH(I449),999999))</f>
        <v>999999</v>
      </c>
      <c r="W449" s="58" t="n">
        <f aca="false">IF(U449="",999999,YEAR(U449)*12+MONTH(U449))</f>
        <v>999999</v>
      </c>
      <c r="X449" s="58" t="n">
        <f aca="false">IF(F449=Cadastros!$E$6,3,IF(F449=Cadastros!$E$7,6,IF(F449=Cadastros!$E$8,12,1)))</f>
        <v>1</v>
      </c>
    </row>
    <row r="450" customFormat="false" ht="15" hidden="false" customHeight="false" outlineLevel="0" collapsed="false">
      <c r="A450" s="49" t="str">
        <f aca="false">IF(B450="","",ROW()-4)</f>
        <v/>
      </c>
      <c r="B450" s="50"/>
      <c r="C450" s="50"/>
      <c r="D450" s="50"/>
      <c r="E450" s="51"/>
      <c r="F450" s="51"/>
      <c r="G450" s="51"/>
      <c r="H450" s="52"/>
      <c r="I450" s="53"/>
      <c r="J450" s="54"/>
      <c r="K450" s="53"/>
      <c r="L450" s="54"/>
      <c r="M450" s="55" t="str">
        <f aca="false">IF(L450="","",L450-J450)</f>
        <v/>
      </c>
      <c r="N450" s="56" t="str">
        <f aca="true">IF(I450="","",IF(K450&lt;&gt;"","PAGO",IF(I450&lt;TODAY(),"VENCIDO",IF(I450=TODAY(),"VENCE HOJE","A VENCER"))))</f>
        <v/>
      </c>
      <c r="O450" s="57" t="str">
        <f aca="true">IF(OR(I450="",K450&lt;&gt;""),"",I450-TODAY())</f>
        <v/>
      </c>
      <c r="P450" s="51"/>
      <c r="Q450" s="51"/>
      <c r="R450" s="51"/>
      <c r="S450" s="50"/>
      <c r="T450" s="50"/>
      <c r="U450" s="52"/>
      <c r="V450" s="58" t="n">
        <f aca="false">IF(OR(B450="",I450="",F450="",F450=Cadastros!$E$4,F450=Cadastros!$E$9),999999,IF(COUNTIFS($B$5:$B$504,B450,$I$5:$I$504,"&gt;"&amp;I450)=0,YEAR(I450)*12+MONTH(I450),999999))</f>
        <v>999999</v>
      </c>
      <c r="W450" s="58" t="n">
        <f aca="false">IF(U450="",999999,YEAR(U450)*12+MONTH(U450))</f>
        <v>999999</v>
      </c>
      <c r="X450" s="58" t="n">
        <f aca="false">IF(F450=Cadastros!$E$6,3,IF(F450=Cadastros!$E$7,6,IF(F450=Cadastros!$E$8,12,1)))</f>
        <v>1</v>
      </c>
    </row>
    <row r="451" customFormat="false" ht="15" hidden="false" customHeight="false" outlineLevel="0" collapsed="false">
      <c r="A451" s="49" t="str">
        <f aca="false">IF(B451="","",ROW()-4)</f>
        <v/>
      </c>
      <c r="B451" s="50"/>
      <c r="C451" s="50"/>
      <c r="D451" s="50"/>
      <c r="E451" s="51"/>
      <c r="F451" s="51"/>
      <c r="G451" s="51"/>
      <c r="H451" s="52"/>
      <c r="I451" s="53"/>
      <c r="J451" s="54"/>
      <c r="K451" s="53"/>
      <c r="L451" s="54"/>
      <c r="M451" s="55" t="str">
        <f aca="false">IF(L451="","",L451-J451)</f>
        <v/>
      </c>
      <c r="N451" s="56" t="str">
        <f aca="true">IF(I451="","",IF(K451&lt;&gt;"","PAGO",IF(I451&lt;TODAY(),"VENCIDO",IF(I451=TODAY(),"VENCE HOJE","A VENCER"))))</f>
        <v/>
      </c>
      <c r="O451" s="57" t="str">
        <f aca="true">IF(OR(I451="",K451&lt;&gt;""),"",I451-TODAY())</f>
        <v/>
      </c>
      <c r="P451" s="51"/>
      <c r="Q451" s="51"/>
      <c r="R451" s="51"/>
      <c r="S451" s="50"/>
      <c r="T451" s="50"/>
      <c r="U451" s="52"/>
      <c r="V451" s="58" t="n">
        <f aca="false">IF(OR(B451="",I451="",F451="",F451=Cadastros!$E$4,F451=Cadastros!$E$9),999999,IF(COUNTIFS($B$5:$B$504,B451,$I$5:$I$504,"&gt;"&amp;I451)=0,YEAR(I451)*12+MONTH(I451),999999))</f>
        <v>999999</v>
      </c>
      <c r="W451" s="58" t="n">
        <f aca="false">IF(U451="",999999,YEAR(U451)*12+MONTH(U451))</f>
        <v>999999</v>
      </c>
      <c r="X451" s="58" t="n">
        <f aca="false">IF(F451=Cadastros!$E$6,3,IF(F451=Cadastros!$E$7,6,IF(F451=Cadastros!$E$8,12,1)))</f>
        <v>1</v>
      </c>
    </row>
    <row r="452" customFormat="false" ht="15" hidden="false" customHeight="false" outlineLevel="0" collapsed="false">
      <c r="A452" s="49" t="str">
        <f aca="false">IF(B452="","",ROW()-4)</f>
        <v/>
      </c>
      <c r="B452" s="50"/>
      <c r="C452" s="50"/>
      <c r="D452" s="50"/>
      <c r="E452" s="51"/>
      <c r="F452" s="51"/>
      <c r="G452" s="51"/>
      <c r="H452" s="52"/>
      <c r="I452" s="53"/>
      <c r="J452" s="54"/>
      <c r="K452" s="53"/>
      <c r="L452" s="54"/>
      <c r="M452" s="55" t="str">
        <f aca="false">IF(L452="","",L452-J452)</f>
        <v/>
      </c>
      <c r="N452" s="56" t="str">
        <f aca="true">IF(I452="","",IF(K452&lt;&gt;"","PAGO",IF(I452&lt;TODAY(),"VENCIDO",IF(I452=TODAY(),"VENCE HOJE","A VENCER"))))</f>
        <v/>
      </c>
      <c r="O452" s="57" t="str">
        <f aca="true">IF(OR(I452="",K452&lt;&gt;""),"",I452-TODAY())</f>
        <v/>
      </c>
      <c r="P452" s="51"/>
      <c r="Q452" s="51"/>
      <c r="R452" s="51"/>
      <c r="S452" s="50"/>
      <c r="T452" s="50"/>
      <c r="U452" s="52"/>
      <c r="V452" s="58" t="n">
        <f aca="false">IF(OR(B452="",I452="",F452="",F452=Cadastros!$E$4,F452=Cadastros!$E$9),999999,IF(COUNTIFS($B$5:$B$504,B452,$I$5:$I$504,"&gt;"&amp;I452)=0,YEAR(I452)*12+MONTH(I452),999999))</f>
        <v>999999</v>
      </c>
      <c r="W452" s="58" t="n">
        <f aca="false">IF(U452="",999999,YEAR(U452)*12+MONTH(U452))</f>
        <v>999999</v>
      </c>
      <c r="X452" s="58" t="n">
        <f aca="false">IF(F452=Cadastros!$E$6,3,IF(F452=Cadastros!$E$7,6,IF(F452=Cadastros!$E$8,12,1)))</f>
        <v>1</v>
      </c>
    </row>
    <row r="453" customFormat="false" ht="15" hidden="false" customHeight="false" outlineLevel="0" collapsed="false">
      <c r="A453" s="49" t="str">
        <f aca="false">IF(B453="","",ROW()-4)</f>
        <v/>
      </c>
      <c r="B453" s="50"/>
      <c r="C453" s="50"/>
      <c r="D453" s="50"/>
      <c r="E453" s="51"/>
      <c r="F453" s="51"/>
      <c r="G453" s="51"/>
      <c r="H453" s="52"/>
      <c r="I453" s="53"/>
      <c r="J453" s="54"/>
      <c r="K453" s="53"/>
      <c r="L453" s="54"/>
      <c r="M453" s="55" t="str">
        <f aca="false">IF(L453="","",L453-J453)</f>
        <v/>
      </c>
      <c r="N453" s="56" t="str">
        <f aca="true">IF(I453="","",IF(K453&lt;&gt;"","PAGO",IF(I453&lt;TODAY(),"VENCIDO",IF(I453=TODAY(),"VENCE HOJE","A VENCER"))))</f>
        <v/>
      </c>
      <c r="O453" s="57" t="str">
        <f aca="true">IF(OR(I453="",K453&lt;&gt;""),"",I453-TODAY())</f>
        <v/>
      </c>
      <c r="P453" s="51"/>
      <c r="Q453" s="51"/>
      <c r="R453" s="51"/>
      <c r="S453" s="50"/>
      <c r="T453" s="50"/>
      <c r="U453" s="52"/>
      <c r="V453" s="58" t="n">
        <f aca="false">IF(OR(B453="",I453="",F453="",F453=Cadastros!$E$4,F453=Cadastros!$E$9),999999,IF(COUNTIFS($B$5:$B$504,B453,$I$5:$I$504,"&gt;"&amp;I453)=0,YEAR(I453)*12+MONTH(I453),999999))</f>
        <v>999999</v>
      </c>
      <c r="W453" s="58" t="n">
        <f aca="false">IF(U453="",999999,YEAR(U453)*12+MONTH(U453))</f>
        <v>999999</v>
      </c>
      <c r="X453" s="58" t="n">
        <f aca="false">IF(F453=Cadastros!$E$6,3,IF(F453=Cadastros!$E$7,6,IF(F453=Cadastros!$E$8,12,1)))</f>
        <v>1</v>
      </c>
    </row>
    <row r="454" customFormat="false" ht="15" hidden="false" customHeight="false" outlineLevel="0" collapsed="false">
      <c r="A454" s="49" t="str">
        <f aca="false">IF(B454="","",ROW()-4)</f>
        <v/>
      </c>
      <c r="B454" s="50"/>
      <c r="C454" s="50"/>
      <c r="D454" s="50"/>
      <c r="E454" s="51"/>
      <c r="F454" s="51"/>
      <c r="G454" s="51"/>
      <c r="H454" s="52"/>
      <c r="I454" s="53"/>
      <c r="J454" s="54"/>
      <c r="K454" s="53"/>
      <c r="L454" s="54"/>
      <c r="M454" s="55" t="str">
        <f aca="false">IF(L454="","",L454-J454)</f>
        <v/>
      </c>
      <c r="N454" s="56" t="str">
        <f aca="true">IF(I454="","",IF(K454&lt;&gt;"","PAGO",IF(I454&lt;TODAY(),"VENCIDO",IF(I454=TODAY(),"VENCE HOJE","A VENCER"))))</f>
        <v/>
      </c>
      <c r="O454" s="57" t="str">
        <f aca="true">IF(OR(I454="",K454&lt;&gt;""),"",I454-TODAY())</f>
        <v/>
      </c>
      <c r="P454" s="51"/>
      <c r="Q454" s="51"/>
      <c r="R454" s="51"/>
      <c r="S454" s="50"/>
      <c r="T454" s="50"/>
      <c r="U454" s="52"/>
      <c r="V454" s="58" t="n">
        <f aca="false">IF(OR(B454="",I454="",F454="",F454=Cadastros!$E$4,F454=Cadastros!$E$9),999999,IF(COUNTIFS($B$5:$B$504,B454,$I$5:$I$504,"&gt;"&amp;I454)=0,YEAR(I454)*12+MONTH(I454),999999))</f>
        <v>999999</v>
      </c>
      <c r="W454" s="58" t="n">
        <f aca="false">IF(U454="",999999,YEAR(U454)*12+MONTH(U454))</f>
        <v>999999</v>
      </c>
      <c r="X454" s="58" t="n">
        <f aca="false">IF(F454=Cadastros!$E$6,3,IF(F454=Cadastros!$E$7,6,IF(F454=Cadastros!$E$8,12,1)))</f>
        <v>1</v>
      </c>
    </row>
    <row r="455" customFormat="false" ht="15" hidden="false" customHeight="false" outlineLevel="0" collapsed="false">
      <c r="A455" s="49" t="str">
        <f aca="false">IF(B455="","",ROW()-4)</f>
        <v/>
      </c>
      <c r="B455" s="50"/>
      <c r="C455" s="50"/>
      <c r="D455" s="50"/>
      <c r="E455" s="51"/>
      <c r="F455" s="51"/>
      <c r="G455" s="51"/>
      <c r="H455" s="52"/>
      <c r="I455" s="53"/>
      <c r="J455" s="54"/>
      <c r="K455" s="53"/>
      <c r="L455" s="54"/>
      <c r="M455" s="55" t="str">
        <f aca="false">IF(L455="","",L455-J455)</f>
        <v/>
      </c>
      <c r="N455" s="56" t="str">
        <f aca="true">IF(I455="","",IF(K455&lt;&gt;"","PAGO",IF(I455&lt;TODAY(),"VENCIDO",IF(I455=TODAY(),"VENCE HOJE","A VENCER"))))</f>
        <v/>
      </c>
      <c r="O455" s="57" t="str">
        <f aca="true">IF(OR(I455="",K455&lt;&gt;""),"",I455-TODAY())</f>
        <v/>
      </c>
      <c r="P455" s="51"/>
      <c r="Q455" s="51"/>
      <c r="R455" s="51"/>
      <c r="S455" s="50"/>
      <c r="T455" s="50"/>
      <c r="U455" s="52"/>
      <c r="V455" s="58" t="n">
        <f aca="false">IF(OR(B455="",I455="",F455="",F455=Cadastros!$E$4,F455=Cadastros!$E$9),999999,IF(COUNTIFS($B$5:$B$504,B455,$I$5:$I$504,"&gt;"&amp;I455)=0,YEAR(I455)*12+MONTH(I455),999999))</f>
        <v>999999</v>
      </c>
      <c r="W455" s="58" t="n">
        <f aca="false">IF(U455="",999999,YEAR(U455)*12+MONTH(U455))</f>
        <v>999999</v>
      </c>
      <c r="X455" s="58" t="n">
        <f aca="false">IF(F455=Cadastros!$E$6,3,IF(F455=Cadastros!$E$7,6,IF(F455=Cadastros!$E$8,12,1)))</f>
        <v>1</v>
      </c>
    </row>
    <row r="456" customFormat="false" ht="15" hidden="false" customHeight="false" outlineLevel="0" collapsed="false">
      <c r="A456" s="49" t="str">
        <f aca="false">IF(B456="","",ROW()-4)</f>
        <v/>
      </c>
      <c r="B456" s="50"/>
      <c r="C456" s="50"/>
      <c r="D456" s="50"/>
      <c r="E456" s="51"/>
      <c r="F456" s="51"/>
      <c r="G456" s="51"/>
      <c r="H456" s="52"/>
      <c r="I456" s="53"/>
      <c r="J456" s="54"/>
      <c r="K456" s="53"/>
      <c r="L456" s="54"/>
      <c r="M456" s="55" t="str">
        <f aca="false">IF(L456="","",L456-J456)</f>
        <v/>
      </c>
      <c r="N456" s="56" t="str">
        <f aca="true">IF(I456="","",IF(K456&lt;&gt;"","PAGO",IF(I456&lt;TODAY(),"VENCIDO",IF(I456=TODAY(),"VENCE HOJE","A VENCER"))))</f>
        <v/>
      </c>
      <c r="O456" s="57" t="str">
        <f aca="true">IF(OR(I456="",K456&lt;&gt;""),"",I456-TODAY())</f>
        <v/>
      </c>
      <c r="P456" s="51"/>
      <c r="Q456" s="51"/>
      <c r="R456" s="51"/>
      <c r="S456" s="50"/>
      <c r="T456" s="50"/>
      <c r="U456" s="52"/>
      <c r="V456" s="58" t="n">
        <f aca="false">IF(OR(B456="",I456="",F456="",F456=Cadastros!$E$4,F456=Cadastros!$E$9),999999,IF(COUNTIFS($B$5:$B$504,B456,$I$5:$I$504,"&gt;"&amp;I456)=0,YEAR(I456)*12+MONTH(I456),999999))</f>
        <v>999999</v>
      </c>
      <c r="W456" s="58" t="n">
        <f aca="false">IF(U456="",999999,YEAR(U456)*12+MONTH(U456))</f>
        <v>999999</v>
      </c>
      <c r="X456" s="58" t="n">
        <f aca="false">IF(F456=Cadastros!$E$6,3,IF(F456=Cadastros!$E$7,6,IF(F456=Cadastros!$E$8,12,1)))</f>
        <v>1</v>
      </c>
    </row>
    <row r="457" customFormat="false" ht="15" hidden="false" customHeight="false" outlineLevel="0" collapsed="false">
      <c r="A457" s="49" t="str">
        <f aca="false">IF(B457="","",ROW()-4)</f>
        <v/>
      </c>
      <c r="B457" s="50"/>
      <c r="C457" s="50"/>
      <c r="D457" s="50"/>
      <c r="E457" s="51"/>
      <c r="F457" s="51"/>
      <c r="G457" s="51"/>
      <c r="H457" s="52"/>
      <c r="I457" s="53"/>
      <c r="J457" s="54"/>
      <c r="K457" s="53"/>
      <c r="L457" s="54"/>
      <c r="M457" s="55" t="str">
        <f aca="false">IF(L457="","",L457-J457)</f>
        <v/>
      </c>
      <c r="N457" s="56" t="str">
        <f aca="true">IF(I457="","",IF(K457&lt;&gt;"","PAGO",IF(I457&lt;TODAY(),"VENCIDO",IF(I457=TODAY(),"VENCE HOJE","A VENCER"))))</f>
        <v/>
      </c>
      <c r="O457" s="57" t="str">
        <f aca="true">IF(OR(I457="",K457&lt;&gt;""),"",I457-TODAY())</f>
        <v/>
      </c>
      <c r="P457" s="51"/>
      <c r="Q457" s="51"/>
      <c r="R457" s="51"/>
      <c r="S457" s="50"/>
      <c r="T457" s="50"/>
      <c r="U457" s="52"/>
      <c r="V457" s="58" t="n">
        <f aca="false">IF(OR(B457="",I457="",F457="",F457=Cadastros!$E$4,F457=Cadastros!$E$9),999999,IF(COUNTIFS($B$5:$B$504,B457,$I$5:$I$504,"&gt;"&amp;I457)=0,YEAR(I457)*12+MONTH(I457),999999))</f>
        <v>999999</v>
      </c>
      <c r="W457" s="58" t="n">
        <f aca="false">IF(U457="",999999,YEAR(U457)*12+MONTH(U457))</f>
        <v>999999</v>
      </c>
      <c r="X457" s="58" t="n">
        <f aca="false">IF(F457=Cadastros!$E$6,3,IF(F457=Cadastros!$E$7,6,IF(F457=Cadastros!$E$8,12,1)))</f>
        <v>1</v>
      </c>
    </row>
    <row r="458" customFormat="false" ht="15" hidden="false" customHeight="false" outlineLevel="0" collapsed="false">
      <c r="A458" s="49" t="str">
        <f aca="false">IF(B458="","",ROW()-4)</f>
        <v/>
      </c>
      <c r="B458" s="50"/>
      <c r="C458" s="50"/>
      <c r="D458" s="50"/>
      <c r="E458" s="51"/>
      <c r="F458" s="51"/>
      <c r="G458" s="51"/>
      <c r="H458" s="52"/>
      <c r="I458" s="53"/>
      <c r="J458" s="54"/>
      <c r="K458" s="53"/>
      <c r="L458" s="54"/>
      <c r="M458" s="55" t="str">
        <f aca="false">IF(L458="","",L458-J458)</f>
        <v/>
      </c>
      <c r="N458" s="56" t="str">
        <f aca="true">IF(I458="","",IF(K458&lt;&gt;"","PAGO",IF(I458&lt;TODAY(),"VENCIDO",IF(I458=TODAY(),"VENCE HOJE","A VENCER"))))</f>
        <v/>
      </c>
      <c r="O458" s="57" t="str">
        <f aca="true">IF(OR(I458="",K458&lt;&gt;""),"",I458-TODAY())</f>
        <v/>
      </c>
      <c r="P458" s="51"/>
      <c r="Q458" s="51"/>
      <c r="R458" s="51"/>
      <c r="S458" s="50"/>
      <c r="T458" s="50"/>
      <c r="U458" s="52"/>
      <c r="V458" s="58" t="n">
        <f aca="false">IF(OR(B458="",I458="",F458="",F458=Cadastros!$E$4,F458=Cadastros!$E$9),999999,IF(COUNTIFS($B$5:$B$504,B458,$I$5:$I$504,"&gt;"&amp;I458)=0,YEAR(I458)*12+MONTH(I458),999999))</f>
        <v>999999</v>
      </c>
      <c r="W458" s="58" t="n">
        <f aca="false">IF(U458="",999999,YEAR(U458)*12+MONTH(U458))</f>
        <v>999999</v>
      </c>
      <c r="X458" s="58" t="n">
        <f aca="false">IF(F458=Cadastros!$E$6,3,IF(F458=Cadastros!$E$7,6,IF(F458=Cadastros!$E$8,12,1)))</f>
        <v>1</v>
      </c>
    </row>
    <row r="459" customFormat="false" ht="15" hidden="false" customHeight="false" outlineLevel="0" collapsed="false">
      <c r="A459" s="49" t="str">
        <f aca="false">IF(B459="","",ROW()-4)</f>
        <v/>
      </c>
      <c r="B459" s="50"/>
      <c r="C459" s="50"/>
      <c r="D459" s="50"/>
      <c r="E459" s="51"/>
      <c r="F459" s="51"/>
      <c r="G459" s="51"/>
      <c r="H459" s="52"/>
      <c r="I459" s="53"/>
      <c r="J459" s="54"/>
      <c r="K459" s="53"/>
      <c r="L459" s="54"/>
      <c r="M459" s="55" t="str">
        <f aca="false">IF(L459="","",L459-J459)</f>
        <v/>
      </c>
      <c r="N459" s="56" t="str">
        <f aca="true">IF(I459="","",IF(K459&lt;&gt;"","PAGO",IF(I459&lt;TODAY(),"VENCIDO",IF(I459=TODAY(),"VENCE HOJE","A VENCER"))))</f>
        <v/>
      </c>
      <c r="O459" s="57" t="str">
        <f aca="true">IF(OR(I459="",K459&lt;&gt;""),"",I459-TODAY())</f>
        <v/>
      </c>
      <c r="P459" s="51"/>
      <c r="Q459" s="51"/>
      <c r="R459" s="51"/>
      <c r="S459" s="50"/>
      <c r="T459" s="50"/>
      <c r="U459" s="52"/>
      <c r="V459" s="58" t="n">
        <f aca="false">IF(OR(B459="",I459="",F459="",F459=Cadastros!$E$4,F459=Cadastros!$E$9),999999,IF(COUNTIFS($B$5:$B$504,B459,$I$5:$I$504,"&gt;"&amp;I459)=0,YEAR(I459)*12+MONTH(I459),999999))</f>
        <v>999999</v>
      </c>
      <c r="W459" s="58" t="n">
        <f aca="false">IF(U459="",999999,YEAR(U459)*12+MONTH(U459))</f>
        <v>999999</v>
      </c>
      <c r="X459" s="58" t="n">
        <f aca="false">IF(F459=Cadastros!$E$6,3,IF(F459=Cadastros!$E$7,6,IF(F459=Cadastros!$E$8,12,1)))</f>
        <v>1</v>
      </c>
    </row>
    <row r="460" customFormat="false" ht="15" hidden="false" customHeight="false" outlineLevel="0" collapsed="false">
      <c r="A460" s="49" t="str">
        <f aca="false">IF(B460="","",ROW()-4)</f>
        <v/>
      </c>
      <c r="B460" s="50"/>
      <c r="C460" s="50"/>
      <c r="D460" s="50"/>
      <c r="E460" s="51"/>
      <c r="F460" s="51"/>
      <c r="G460" s="51"/>
      <c r="H460" s="52"/>
      <c r="I460" s="53"/>
      <c r="J460" s="54"/>
      <c r="K460" s="53"/>
      <c r="L460" s="54"/>
      <c r="M460" s="55" t="str">
        <f aca="false">IF(L460="","",L460-J460)</f>
        <v/>
      </c>
      <c r="N460" s="56" t="str">
        <f aca="true">IF(I460="","",IF(K460&lt;&gt;"","PAGO",IF(I460&lt;TODAY(),"VENCIDO",IF(I460=TODAY(),"VENCE HOJE","A VENCER"))))</f>
        <v/>
      </c>
      <c r="O460" s="57" t="str">
        <f aca="true">IF(OR(I460="",K460&lt;&gt;""),"",I460-TODAY())</f>
        <v/>
      </c>
      <c r="P460" s="51"/>
      <c r="Q460" s="51"/>
      <c r="R460" s="51"/>
      <c r="S460" s="50"/>
      <c r="T460" s="50"/>
      <c r="U460" s="52"/>
      <c r="V460" s="58" t="n">
        <f aca="false">IF(OR(B460="",I460="",F460="",F460=Cadastros!$E$4,F460=Cadastros!$E$9),999999,IF(COUNTIFS($B$5:$B$504,B460,$I$5:$I$504,"&gt;"&amp;I460)=0,YEAR(I460)*12+MONTH(I460),999999))</f>
        <v>999999</v>
      </c>
      <c r="W460" s="58" t="n">
        <f aca="false">IF(U460="",999999,YEAR(U460)*12+MONTH(U460))</f>
        <v>999999</v>
      </c>
      <c r="X460" s="58" t="n">
        <f aca="false">IF(F460=Cadastros!$E$6,3,IF(F460=Cadastros!$E$7,6,IF(F460=Cadastros!$E$8,12,1)))</f>
        <v>1</v>
      </c>
    </row>
    <row r="461" customFormat="false" ht="15" hidden="false" customHeight="false" outlineLevel="0" collapsed="false">
      <c r="A461" s="49" t="str">
        <f aca="false">IF(B461="","",ROW()-4)</f>
        <v/>
      </c>
      <c r="B461" s="50"/>
      <c r="C461" s="50"/>
      <c r="D461" s="50"/>
      <c r="E461" s="51"/>
      <c r="F461" s="51"/>
      <c r="G461" s="51"/>
      <c r="H461" s="52"/>
      <c r="I461" s="53"/>
      <c r="J461" s="54"/>
      <c r="K461" s="53"/>
      <c r="L461" s="54"/>
      <c r="M461" s="55" t="str">
        <f aca="false">IF(L461="","",L461-J461)</f>
        <v/>
      </c>
      <c r="N461" s="56" t="str">
        <f aca="true">IF(I461="","",IF(K461&lt;&gt;"","PAGO",IF(I461&lt;TODAY(),"VENCIDO",IF(I461=TODAY(),"VENCE HOJE","A VENCER"))))</f>
        <v/>
      </c>
      <c r="O461" s="57" t="str">
        <f aca="true">IF(OR(I461="",K461&lt;&gt;""),"",I461-TODAY())</f>
        <v/>
      </c>
      <c r="P461" s="51"/>
      <c r="Q461" s="51"/>
      <c r="R461" s="51"/>
      <c r="S461" s="50"/>
      <c r="T461" s="50"/>
      <c r="U461" s="52"/>
      <c r="V461" s="58" t="n">
        <f aca="false">IF(OR(B461="",I461="",F461="",F461=Cadastros!$E$4,F461=Cadastros!$E$9),999999,IF(COUNTIFS($B$5:$B$504,B461,$I$5:$I$504,"&gt;"&amp;I461)=0,YEAR(I461)*12+MONTH(I461),999999))</f>
        <v>999999</v>
      </c>
      <c r="W461" s="58" t="n">
        <f aca="false">IF(U461="",999999,YEAR(U461)*12+MONTH(U461))</f>
        <v>999999</v>
      </c>
      <c r="X461" s="58" t="n">
        <f aca="false">IF(F461=Cadastros!$E$6,3,IF(F461=Cadastros!$E$7,6,IF(F461=Cadastros!$E$8,12,1)))</f>
        <v>1</v>
      </c>
    </row>
    <row r="462" customFormat="false" ht="15" hidden="false" customHeight="false" outlineLevel="0" collapsed="false">
      <c r="A462" s="49" t="str">
        <f aca="false">IF(B462="","",ROW()-4)</f>
        <v/>
      </c>
      <c r="B462" s="50"/>
      <c r="C462" s="50"/>
      <c r="D462" s="50"/>
      <c r="E462" s="51"/>
      <c r="F462" s="51"/>
      <c r="G462" s="51"/>
      <c r="H462" s="52"/>
      <c r="I462" s="53"/>
      <c r="J462" s="54"/>
      <c r="K462" s="53"/>
      <c r="L462" s="54"/>
      <c r="M462" s="55" t="str">
        <f aca="false">IF(L462="","",L462-J462)</f>
        <v/>
      </c>
      <c r="N462" s="56" t="str">
        <f aca="true">IF(I462="","",IF(K462&lt;&gt;"","PAGO",IF(I462&lt;TODAY(),"VENCIDO",IF(I462=TODAY(),"VENCE HOJE","A VENCER"))))</f>
        <v/>
      </c>
      <c r="O462" s="57" t="str">
        <f aca="true">IF(OR(I462="",K462&lt;&gt;""),"",I462-TODAY())</f>
        <v/>
      </c>
      <c r="P462" s="51"/>
      <c r="Q462" s="51"/>
      <c r="R462" s="51"/>
      <c r="S462" s="50"/>
      <c r="T462" s="50"/>
      <c r="U462" s="52"/>
      <c r="V462" s="58" t="n">
        <f aca="false">IF(OR(B462="",I462="",F462="",F462=Cadastros!$E$4,F462=Cadastros!$E$9),999999,IF(COUNTIFS($B$5:$B$504,B462,$I$5:$I$504,"&gt;"&amp;I462)=0,YEAR(I462)*12+MONTH(I462),999999))</f>
        <v>999999</v>
      </c>
      <c r="W462" s="58" t="n">
        <f aca="false">IF(U462="",999999,YEAR(U462)*12+MONTH(U462))</f>
        <v>999999</v>
      </c>
      <c r="X462" s="58" t="n">
        <f aca="false">IF(F462=Cadastros!$E$6,3,IF(F462=Cadastros!$E$7,6,IF(F462=Cadastros!$E$8,12,1)))</f>
        <v>1</v>
      </c>
    </row>
    <row r="463" customFormat="false" ht="15" hidden="false" customHeight="false" outlineLevel="0" collapsed="false">
      <c r="A463" s="49" t="str">
        <f aca="false">IF(B463="","",ROW()-4)</f>
        <v/>
      </c>
      <c r="B463" s="50"/>
      <c r="C463" s="50"/>
      <c r="D463" s="50"/>
      <c r="E463" s="51"/>
      <c r="F463" s="51"/>
      <c r="G463" s="51"/>
      <c r="H463" s="52"/>
      <c r="I463" s="53"/>
      <c r="J463" s="54"/>
      <c r="K463" s="53"/>
      <c r="L463" s="54"/>
      <c r="M463" s="55" t="str">
        <f aca="false">IF(L463="","",L463-J463)</f>
        <v/>
      </c>
      <c r="N463" s="56" t="str">
        <f aca="true">IF(I463="","",IF(K463&lt;&gt;"","PAGO",IF(I463&lt;TODAY(),"VENCIDO",IF(I463=TODAY(),"VENCE HOJE","A VENCER"))))</f>
        <v/>
      </c>
      <c r="O463" s="57" t="str">
        <f aca="true">IF(OR(I463="",K463&lt;&gt;""),"",I463-TODAY())</f>
        <v/>
      </c>
      <c r="P463" s="51"/>
      <c r="Q463" s="51"/>
      <c r="R463" s="51"/>
      <c r="S463" s="50"/>
      <c r="T463" s="50"/>
      <c r="U463" s="52"/>
      <c r="V463" s="58" t="n">
        <f aca="false">IF(OR(B463="",I463="",F463="",F463=Cadastros!$E$4,F463=Cadastros!$E$9),999999,IF(COUNTIFS($B$5:$B$504,B463,$I$5:$I$504,"&gt;"&amp;I463)=0,YEAR(I463)*12+MONTH(I463),999999))</f>
        <v>999999</v>
      </c>
      <c r="W463" s="58" t="n">
        <f aca="false">IF(U463="",999999,YEAR(U463)*12+MONTH(U463))</f>
        <v>999999</v>
      </c>
      <c r="X463" s="58" t="n">
        <f aca="false">IF(F463=Cadastros!$E$6,3,IF(F463=Cadastros!$E$7,6,IF(F463=Cadastros!$E$8,12,1)))</f>
        <v>1</v>
      </c>
    </row>
    <row r="464" customFormat="false" ht="15" hidden="false" customHeight="false" outlineLevel="0" collapsed="false">
      <c r="A464" s="49" t="str">
        <f aca="false">IF(B464="","",ROW()-4)</f>
        <v/>
      </c>
      <c r="B464" s="50"/>
      <c r="C464" s="50"/>
      <c r="D464" s="50"/>
      <c r="E464" s="51"/>
      <c r="F464" s="51"/>
      <c r="G464" s="51"/>
      <c r="H464" s="52"/>
      <c r="I464" s="53"/>
      <c r="J464" s="54"/>
      <c r="K464" s="53"/>
      <c r="L464" s="54"/>
      <c r="M464" s="55" t="str">
        <f aca="false">IF(L464="","",L464-J464)</f>
        <v/>
      </c>
      <c r="N464" s="56" t="str">
        <f aca="true">IF(I464="","",IF(K464&lt;&gt;"","PAGO",IF(I464&lt;TODAY(),"VENCIDO",IF(I464=TODAY(),"VENCE HOJE","A VENCER"))))</f>
        <v/>
      </c>
      <c r="O464" s="57" t="str">
        <f aca="true">IF(OR(I464="",K464&lt;&gt;""),"",I464-TODAY())</f>
        <v/>
      </c>
      <c r="P464" s="51"/>
      <c r="Q464" s="51"/>
      <c r="R464" s="51"/>
      <c r="S464" s="50"/>
      <c r="T464" s="50"/>
      <c r="U464" s="52"/>
      <c r="V464" s="58" t="n">
        <f aca="false">IF(OR(B464="",I464="",F464="",F464=Cadastros!$E$4,F464=Cadastros!$E$9),999999,IF(COUNTIFS($B$5:$B$504,B464,$I$5:$I$504,"&gt;"&amp;I464)=0,YEAR(I464)*12+MONTH(I464),999999))</f>
        <v>999999</v>
      </c>
      <c r="W464" s="58" t="n">
        <f aca="false">IF(U464="",999999,YEAR(U464)*12+MONTH(U464))</f>
        <v>999999</v>
      </c>
      <c r="X464" s="58" t="n">
        <f aca="false">IF(F464=Cadastros!$E$6,3,IF(F464=Cadastros!$E$7,6,IF(F464=Cadastros!$E$8,12,1)))</f>
        <v>1</v>
      </c>
    </row>
    <row r="465" customFormat="false" ht="15" hidden="false" customHeight="false" outlineLevel="0" collapsed="false">
      <c r="A465" s="49" t="str">
        <f aca="false">IF(B465="","",ROW()-4)</f>
        <v/>
      </c>
      <c r="B465" s="50"/>
      <c r="C465" s="50"/>
      <c r="D465" s="50"/>
      <c r="E465" s="51"/>
      <c r="F465" s="51"/>
      <c r="G465" s="51"/>
      <c r="H465" s="52"/>
      <c r="I465" s="53"/>
      <c r="J465" s="54"/>
      <c r="K465" s="53"/>
      <c r="L465" s="54"/>
      <c r="M465" s="55" t="str">
        <f aca="false">IF(L465="","",L465-J465)</f>
        <v/>
      </c>
      <c r="N465" s="56" t="str">
        <f aca="true">IF(I465="","",IF(K465&lt;&gt;"","PAGO",IF(I465&lt;TODAY(),"VENCIDO",IF(I465=TODAY(),"VENCE HOJE","A VENCER"))))</f>
        <v/>
      </c>
      <c r="O465" s="57" t="str">
        <f aca="true">IF(OR(I465="",K465&lt;&gt;""),"",I465-TODAY())</f>
        <v/>
      </c>
      <c r="P465" s="51"/>
      <c r="Q465" s="51"/>
      <c r="R465" s="51"/>
      <c r="S465" s="50"/>
      <c r="T465" s="50"/>
      <c r="U465" s="52"/>
      <c r="V465" s="58" t="n">
        <f aca="false">IF(OR(B465="",I465="",F465="",F465=Cadastros!$E$4,F465=Cadastros!$E$9),999999,IF(COUNTIFS($B$5:$B$504,B465,$I$5:$I$504,"&gt;"&amp;I465)=0,YEAR(I465)*12+MONTH(I465),999999))</f>
        <v>999999</v>
      </c>
      <c r="W465" s="58" t="n">
        <f aca="false">IF(U465="",999999,YEAR(U465)*12+MONTH(U465))</f>
        <v>999999</v>
      </c>
      <c r="X465" s="58" t="n">
        <f aca="false">IF(F465=Cadastros!$E$6,3,IF(F465=Cadastros!$E$7,6,IF(F465=Cadastros!$E$8,12,1)))</f>
        <v>1</v>
      </c>
    </row>
    <row r="466" customFormat="false" ht="15" hidden="false" customHeight="false" outlineLevel="0" collapsed="false">
      <c r="A466" s="49" t="str">
        <f aca="false">IF(B466="","",ROW()-4)</f>
        <v/>
      </c>
      <c r="B466" s="50"/>
      <c r="C466" s="50"/>
      <c r="D466" s="50"/>
      <c r="E466" s="51"/>
      <c r="F466" s="51"/>
      <c r="G466" s="51"/>
      <c r="H466" s="52"/>
      <c r="I466" s="53"/>
      <c r="J466" s="54"/>
      <c r="K466" s="53"/>
      <c r="L466" s="54"/>
      <c r="M466" s="55" t="str">
        <f aca="false">IF(L466="","",L466-J466)</f>
        <v/>
      </c>
      <c r="N466" s="56" t="str">
        <f aca="true">IF(I466="","",IF(K466&lt;&gt;"","PAGO",IF(I466&lt;TODAY(),"VENCIDO",IF(I466=TODAY(),"VENCE HOJE","A VENCER"))))</f>
        <v/>
      </c>
      <c r="O466" s="57" t="str">
        <f aca="true">IF(OR(I466="",K466&lt;&gt;""),"",I466-TODAY())</f>
        <v/>
      </c>
      <c r="P466" s="51"/>
      <c r="Q466" s="51"/>
      <c r="R466" s="51"/>
      <c r="S466" s="50"/>
      <c r="T466" s="50"/>
      <c r="U466" s="52"/>
      <c r="V466" s="58" t="n">
        <f aca="false">IF(OR(B466="",I466="",F466="",F466=Cadastros!$E$4,F466=Cadastros!$E$9),999999,IF(COUNTIFS($B$5:$B$504,B466,$I$5:$I$504,"&gt;"&amp;I466)=0,YEAR(I466)*12+MONTH(I466),999999))</f>
        <v>999999</v>
      </c>
      <c r="W466" s="58" t="n">
        <f aca="false">IF(U466="",999999,YEAR(U466)*12+MONTH(U466))</f>
        <v>999999</v>
      </c>
      <c r="X466" s="58" t="n">
        <f aca="false">IF(F466=Cadastros!$E$6,3,IF(F466=Cadastros!$E$7,6,IF(F466=Cadastros!$E$8,12,1)))</f>
        <v>1</v>
      </c>
    </row>
    <row r="467" customFormat="false" ht="15" hidden="false" customHeight="false" outlineLevel="0" collapsed="false">
      <c r="A467" s="49" t="str">
        <f aca="false">IF(B467="","",ROW()-4)</f>
        <v/>
      </c>
      <c r="B467" s="50"/>
      <c r="C467" s="50"/>
      <c r="D467" s="50"/>
      <c r="E467" s="51"/>
      <c r="F467" s="51"/>
      <c r="G467" s="51"/>
      <c r="H467" s="52"/>
      <c r="I467" s="53"/>
      <c r="J467" s="54"/>
      <c r="K467" s="53"/>
      <c r="L467" s="54"/>
      <c r="M467" s="55" t="str">
        <f aca="false">IF(L467="","",L467-J467)</f>
        <v/>
      </c>
      <c r="N467" s="56" t="str">
        <f aca="true">IF(I467="","",IF(K467&lt;&gt;"","PAGO",IF(I467&lt;TODAY(),"VENCIDO",IF(I467=TODAY(),"VENCE HOJE","A VENCER"))))</f>
        <v/>
      </c>
      <c r="O467" s="57" t="str">
        <f aca="true">IF(OR(I467="",K467&lt;&gt;""),"",I467-TODAY())</f>
        <v/>
      </c>
      <c r="P467" s="51"/>
      <c r="Q467" s="51"/>
      <c r="R467" s="51"/>
      <c r="S467" s="50"/>
      <c r="T467" s="50"/>
      <c r="U467" s="52"/>
      <c r="V467" s="58" t="n">
        <f aca="false">IF(OR(B467="",I467="",F467="",F467=Cadastros!$E$4,F467=Cadastros!$E$9),999999,IF(COUNTIFS($B$5:$B$504,B467,$I$5:$I$504,"&gt;"&amp;I467)=0,YEAR(I467)*12+MONTH(I467),999999))</f>
        <v>999999</v>
      </c>
      <c r="W467" s="58" t="n">
        <f aca="false">IF(U467="",999999,YEAR(U467)*12+MONTH(U467))</f>
        <v>999999</v>
      </c>
      <c r="X467" s="58" t="n">
        <f aca="false">IF(F467=Cadastros!$E$6,3,IF(F467=Cadastros!$E$7,6,IF(F467=Cadastros!$E$8,12,1)))</f>
        <v>1</v>
      </c>
    </row>
    <row r="468" customFormat="false" ht="15" hidden="false" customHeight="false" outlineLevel="0" collapsed="false">
      <c r="A468" s="49" t="str">
        <f aca="false">IF(B468="","",ROW()-4)</f>
        <v/>
      </c>
      <c r="B468" s="50"/>
      <c r="C468" s="50"/>
      <c r="D468" s="50"/>
      <c r="E468" s="51"/>
      <c r="F468" s="51"/>
      <c r="G468" s="51"/>
      <c r="H468" s="52"/>
      <c r="I468" s="53"/>
      <c r="J468" s="54"/>
      <c r="K468" s="53"/>
      <c r="L468" s="54"/>
      <c r="M468" s="55" t="str">
        <f aca="false">IF(L468="","",L468-J468)</f>
        <v/>
      </c>
      <c r="N468" s="56" t="str">
        <f aca="true">IF(I468="","",IF(K468&lt;&gt;"","PAGO",IF(I468&lt;TODAY(),"VENCIDO",IF(I468=TODAY(),"VENCE HOJE","A VENCER"))))</f>
        <v/>
      </c>
      <c r="O468" s="57" t="str">
        <f aca="true">IF(OR(I468="",K468&lt;&gt;""),"",I468-TODAY())</f>
        <v/>
      </c>
      <c r="P468" s="51"/>
      <c r="Q468" s="51"/>
      <c r="R468" s="51"/>
      <c r="S468" s="50"/>
      <c r="T468" s="50"/>
      <c r="U468" s="52"/>
      <c r="V468" s="58" t="n">
        <f aca="false">IF(OR(B468="",I468="",F468="",F468=Cadastros!$E$4,F468=Cadastros!$E$9),999999,IF(COUNTIFS($B$5:$B$504,B468,$I$5:$I$504,"&gt;"&amp;I468)=0,YEAR(I468)*12+MONTH(I468),999999))</f>
        <v>999999</v>
      </c>
      <c r="W468" s="58" t="n">
        <f aca="false">IF(U468="",999999,YEAR(U468)*12+MONTH(U468))</f>
        <v>999999</v>
      </c>
      <c r="X468" s="58" t="n">
        <f aca="false">IF(F468=Cadastros!$E$6,3,IF(F468=Cadastros!$E$7,6,IF(F468=Cadastros!$E$8,12,1)))</f>
        <v>1</v>
      </c>
    </row>
    <row r="469" customFormat="false" ht="15" hidden="false" customHeight="false" outlineLevel="0" collapsed="false">
      <c r="A469" s="49" t="str">
        <f aca="false">IF(B469="","",ROW()-4)</f>
        <v/>
      </c>
      <c r="B469" s="50"/>
      <c r="C469" s="50"/>
      <c r="D469" s="50"/>
      <c r="E469" s="51"/>
      <c r="F469" s="51"/>
      <c r="G469" s="51"/>
      <c r="H469" s="52"/>
      <c r="I469" s="53"/>
      <c r="J469" s="54"/>
      <c r="K469" s="53"/>
      <c r="L469" s="54"/>
      <c r="M469" s="55" t="str">
        <f aca="false">IF(L469="","",L469-J469)</f>
        <v/>
      </c>
      <c r="N469" s="56" t="str">
        <f aca="true">IF(I469="","",IF(K469&lt;&gt;"","PAGO",IF(I469&lt;TODAY(),"VENCIDO",IF(I469=TODAY(),"VENCE HOJE","A VENCER"))))</f>
        <v/>
      </c>
      <c r="O469" s="57" t="str">
        <f aca="true">IF(OR(I469="",K469&lt;&gt;""),"",I469-TODAY())</f>
        <v/>
      </c>
      <c r="P469" s="51"/>
      <c r="Q469" s="51"/>
      <c r="R469" s="51"/>
      <c r="S469" s="50"/>
      <c r="T469" s="50"/>
      <c r="U469" s="52"/>
      <c r="V469" s="58" t="n">
        <f aca="false">IF(OR(B469="",I469="",F469="",F469=Cadastros!$E$4,F469=Cadastros!$E$9),999999,IF(COUNTIFS($B$5:$B$504,B469,$I$5:$I$504,"&gt;"&amp;I469)=0,YEAR(I469)*12+MONTH(I469),999999))</f>
        <v>999999</v>
      </c>
      <c r="W469" s="58" t="n">
        <f aca="false">IF(U469="",999999,YEAR(U469)*12+MONTH(U469))</f>
        <v>999999</v>
      </c>
      <c r="X469" s="58" t="n">
        <f aca="false">IF(F469=Cadastros!$E$6,3,IF(F469=Cadastros!$E$7,6,IF(F469=Cadastros!$E$8,12,1)))</f>
        <v>1</v>
      </c>
    </row>
    <row r="470" customFormat="false" ht="15" hidden="false" customHeight="false" outlineLevel="0" collapsed="false">
      <c r="A470" s="49" t="str">
        <f aca="false">IF(B470="","",ROW()-4)</f>
        <v/>
      </c>
      <c r="B470" s="50"/>
      <c r="C470" s="50"/>
      <c r="D470" s="50"/>
      <c r="E470" s="51"/>
      <c r="F470" s="51"/>
      <c r="G470" s="51"/>
      <c r="H470" s="52"/>
      <c r="I470" s="53"/>
      <c r="J470" s="54"/>
      <c r="K470" s="53"/>
      <c r="L470" s="54"/>
      <c r="M470" s="55" t="str">
        <f aca="false">IF(L470="","",L470-J470)</f>
        <v/>
      </c>
      <c r="N470" s="56" t="str">
        <f aca="true">IF(I470="","",IF(K470&lt;&gt;"","PAGO",IF(I470&lt;TODAY(),"VENCIDO",IF(I470=TODAY(),"VENCE HOJE","A VENCER"))))</f>
        <v/>
      </c>
      <c r="O470" s="57" t="str">
        <f aca="true">IF(OR(I470="",K470&lt;&gt;""),"",I470-TODAY())</f>
        <v/>
      </c>
      <c r="P470" s="51"/>
      <c r="Q470" s="51"/>
      <c r="R470" s="51"/>
      <c r="S470" s="50"/>
      <c r="T470" s="50"/>
      <c r="U470" s="52"/>
      <c r="V470" s="58" t="n">
        <f aca="false">IF(OR(B470="",I470="",F470="",F470=Cadastros!$E$4,F470=Cadastros!$E$9),999999,IF(COUNTIFS($B$5:$B$504,B470,$I$5:$I$504,"&gt;"&amp;I470)=0,YEAR(I470)*12+MONTH(I470),999999))</f>
        <v>999999</v>
      </c>
      <c r="W470" s="58" t="n">
        <f aca="false">IF(U470="",999999,YEAR(U470)*12+MONTH(U470))</f>
        <v>999999</v>
      </c>
      <c r="X470" s="58" t="n">
        <f aca="false">IF(F470=Cadastros!$E$6,3,IF(F470=Cadastros!$E$7,6,IF(F470=Cadastros!$E$8,12,1)))</f>
        <v>1</v>
      </c>
    </row>
    <row r="471" customFormat="false" ht="15" hidden="false" customHeight="false" outlineLevel="0" collapsed="false">
      <c r="A471" s="49" t="str">
        <f aca="false">IF(B471="","",ROW()-4)</f>
        <v/>
      </c>
      <c r="B471" s="50"/>
      <c r="C471" s="50"/>
      <c r="D471" s="50"/>
      <c r="E471" s="51"/>
      <c r="F471" s="51"/>
      <c r="G471" s="51"/>
      <c r="H471" s="52"/>
      <c r="I471" s="53"/>
      <c r="J471" s="54"/>
      <c r="K471" s="53"/>
      <c r="L471" s="54"/>
      <c r="M471" s="55" t="str">
        <f aca="false">IF(L471="","",L471-J471)</f>
        <v/>
      </c>
      <c r="N471" s="56" t="str">
        <f aca="true">IF(I471="","",IF(K471&lt;&gt;"","PAGO",IF(I471&lt;TODAY(),"VENCIDO",IF(I471=TODAY(),"VENCE HOJE","A VENCER"))))</f>
        <v/>
      </c>
      <c r="O471" s="57" t="str">
        <f aca="true">IF(OR(I471="",K471&lt;&gt;""),"",I471-TODAY())</f>
        <v/>
      </c>
      <c r="P471" s="51"/>
      <c r="Q471" s="51"/>
      <c r="R471" s="51"/>
      <c r="S471" s="50"/>
      <c r="T471" s="50"/>
      <c r="U471" s="52"/>
      <c r="V471" s="58" t="n">
        <f aca="false">IF(OR(B471="",I471="",F471="",F471=Cadastros!$E$4,F471=Cadastros!$E$9),999999,IF(COUNTIFS($B$5:$B$504,B471,$I$5:$I$504,"&gt;"&amp;I471)=0,YEAR(I471)*12+MONTH(I471),999999))</f>
        <v>999999</v>
      </c>
      <c r="W471" s="58" t="n">
        <f aca="false">IF(U471="",999999,YEAR(U471)*12+MONTH(U471))</f>
        <v>999999</v>
      </c>
      <c r="X471" s="58" t="n">
        <f aca="false">IF(F471=Cadastros!$E$6,3,IF(F471=Cadastros!$E$7,6,IF(F471=Cadastros!$E$8,12,1)))</f>
        <v>1</v>
      </c>
    </row>
    <row r="472" customFormat="false" ht="15" hidden="false" customHeight="false" outlineLevel="0" collapsed="false">
      <c r="A472" s="49" t="str">
        <f aca="false">IF(B472="","",ROW()-4)</f>
        <v/>
      </c>
      <c r="B472" s="50"/>
      <c r="C472" s="50"/>
      <c r="D472" s="50"/>
      <c r="E472" s="51"/>
      <c r="F472" s="51"/>
      <c r="G472" s="51"/>
      <c r="H472" s="52"/>
      <c r="I472" s="53"/>
      <c r="J472" s="54"/>
      <c r="K472" s="53"/>
      <c r="L472" s="54"/>
      <c r="M472" s="55" t="str">
        <f aca="false">IF(L472="","",L472-J472)</f>
        <v/>
      </c>
      <c r="N472" s="56" t="str">
        <f aca="true">IF(I472="","",IF(K472&lt;&gt;"","PAGO",IF(I472&lt;TODAY(),"VENCIDO",IF(I472=TODAY(),"VENCE HOJE","A VENCER"))))</f>
        <v/>
      </c>
      <c r="O472" s="57" t="str">
        <f aca="true">IF(OR(I472="",K472&lt;&gt;""),"",I472-TODAY())</f>
        <v/>
      </c>
      <c r="P472" s="51"/>
      <c r="Q472" s="51"/>
      <c r="R472" s="51"/>
      <c r="S472" s="50"/>
      <c r="T472" s="50"/>
      <c r="U472" s="52"/>
      <c r="V472" s="58" t="n">
        <f aca="false">IF(OR(B472="",I472="",F472="",F472=Cadastros!$E$4,F472=Cadastros!$E$9),999999,IF(COUNTIFS($B$5:$B$504,B472,$I$5:$I$504,"&gt;"&amp;I472)=0,YEAR(I472)*12+MONTH(I472),999999))</f>
        <v>999999</v>
      </c>
      <c r="W472" s="58" t="n">
        <f aca="false">IF(U472="",999999,YEAR(U472)*12+MONTH(U472))</f>
        <v>999999</v>
      </c>
      <c r="X472" s="58" t="n">
        <f aca="false">IF(F472=Cadastros!$E$6,3,IF(F472=Cadastros!$E$7,6,IF(F472=Cadastros!$E$8,12,1)))</f>
        <v>1</v>
      </c>
    </row>
    <row r="473" customFormat="false" ht="15" hidden="false" customHeight="false" outlineLevel="0" collapsed="false">
      <c r="A473" s="49" t="str">
        <f aca="false">IF(B473="","",ROW()-4)</f>
        <v/>
      </c>
      <c r="B473" s="50"/>
      <c r="C473" s="50"/>
      <c r="D473" s="50"/>
      <c r="E473" s="51"/>
      <c r="F473" s="51"/>
      <c r="G473" s="51"/>
      <c r="H473" s="52"/>
      <c r="I473" s="53"/>
      <c r="J473" s="54"/>
      <c r="K473" s="53"/>
      <c r="L473" s="54"/>
      <c r="M473" s="55" t="str">
        <f aca="false">IF(L473="","",L473-J473)</f>
        <v/>
      </c>
      <c r="N473" s="56" t="str">
        <f aca="true">IF(I473="","",IF(K473&lt;&gt;"","PAGO",IF(I473&lt;TODAY(),"VENCIDO",IF(I473=TODAY(),"VENCE HOJE","A VENCER"))))</f>
        <v/>
      </c>
      <c r="O473" s="57" t="str">
        <f aca="true">IF(OR(I473="",K473&lt;&gt;""),"",I473-TODAY())</f>
        <v/>
      </c>
      <c r="P473" s="51"/>
      <c r="Q473" s="51"/>
      <c r="R473" s="51"/>
      <c r="S473" s="50"/>
      <c r="T473" s="50"/>
      <c r="U473" s="52"/>
      <c r="V473" s="58" t="n">
        <f aca="false">IF(OR(B473="",I473="",F473="",F473=Cadastros!$E$4,F473=Cadastros!$E$9),999999,IF(COUNTIFS($B$5:$B$504,B473,$I$5:$I$504,"&gt;"&amp;I473)=0,YEAR(I473)*12+MONTH(I473),999999))</f>
        <v>999999</v>
      </c>
      <c r="W473" s="58" t="n">
        <f aca="false">IF(U473="",999999,YEAR(U473)*12+MONTH(U473))</f>
        <v>999999</v>
      </c>
      <c r="X473" s="58" t="n">
        <f aca="false">IF(F473=Cadastros!$E$6,3,IF(F473=Cadastros!$E$7,6,IF(F473=Cadastros!$E$8,12,1)))</f>
        <v>1</v>
      </c>
    </row>
    <row r="474" customFormat="false" ht="15" hidden="false" customHeight="false" outlineLevel="0" collapsed="false">
      <c r="A474" s="49" t="str">
        <f aca="false">IF(B474="","",ROW()-4)</f>
        <v/>
      </c>
      <c r="B474" s="50"/>
      <c r="C474" s="50"/>
      <c r="D474" s="50"/>
      <c r="E474" s="51"/>
      <c r="F474" s="51"/>
      <c r="G474" s="51"/>
      <c r="H474" s="52"/>
      <c r="I474" s="53"/>
      <c r="J474" s="54"/>
      <c r="K474" s="53"/>
      <c r="L474" s="54"/>
      <c r="M474" s="55" t="str">
        <f aca="false">IF(L474="","",L474-J474)</f>
        <v/>
      </c>
      <c r="N474" s="56" t="str">
        <f aca="true">IF(I474="","",IF(K474&lt;&gt;"","PAGO",IF(I474&lt;TODAY(),"VENCIDO",IF(I474=TODAY(),"VENCE HOJE","A VENCER"))))</f>
        <v/>
      </c>
      <c r="O474" s="57" t="str">
        <f aca="true">IF(OR(I474="",K474&lt;&gt;""),"",I474-TODAY())</f>
        <v/>
      </c>
      <c r="P474" s="51"/>
      <c r="Q474" s="51"/>
      <c r="R474" s="51"/>
      <c r="S474" s="50"/>
      <c r="T474" s="50"/>
      <c r="U474" s="52"/>
      <c r="V474" s="58" t="n">
        <f aca="false">IF(OR(B474="",I474="",F474="",F474=Cadastros!$E$4,F474=Cadastros!$E$9),999999,IF(COUNTIFS($B$5:$B$504,B474,$I$5:$I$504,"&gt;"&amp;I474)=0,YEAR(I474)*12+MONTH(I474),999999))</f>
        <v>999999</v>
      </c>
      <c r="W474" s="58" t="n">
        <f aca="false">IF(U474="",999999,YEAR(U474)*12+MONTH(U474))</f>
        <v>999999</v>
      </c>
      <c r="X474" s="58" t="n">
        <f aca="false">IF(F474=Cadastros!$E$6,3,IF(F474=Cadastros!$E$7,6,IF(F474=Cadastros!$E$8,12,1)))</f>
        <v>1</v>
      </c>
    </row>
    <row r="475" customFormat="false" ht="15" hidden="false" customHeight="false" outlineLevel="0" collapsed="false">
      <c r="A475" s="49" t="str">
        <f aca="false">IF(B475="","",ROW()-4)</f>
        <v/>
      </c>
      <c r="B475" s="50"/>
      <c r="C475" s="50"/>
      <c r="D475" s="50"/>
      <c r="E475" s="51"/>
      <c r="F475" s="51"/>
      <c r="G475" s="51"/>
      <c r="H475" s="52"/>
      <c r="I475" s="53"/>
      <c r="J475" s="54"/>
      <c r="K475" s="53"/>
      <c r="L475" s="54"/>
      <c r="M475" s="55" t="str">
        <f aca="false">IF(L475="","",L475-J475)</f>
        <v/>
      </c>
      <c r="N475" s="56" t="str">
        <f aca="true">IF(I475="","",IF(K475&lt;&gt;"","PAGO",IF(I475&lt;TODAY(),"VENCIDO",IF(I475=TODAY(),"VENCE HOJE","A VENCER"))))</f>
        <v/>
      </c>
      <c r="O475" s="57" t="str">
        <f aca="true">IF(OR(I475="",K475&lt;&gt;""),"",I475-TODAY())</f>
        <v/>
      </c>
      <c r="P475" s="51"/>
      <c r="Q475" s="51"/>
      <c r="R475" s="51"/>
      <c r="S475" s="50"/>
      <c r="T475" s="50"/>
      <c r="U475" s="52"/>
      <c r="V475" s="58" t="n">
        <f aca="false">IF(OR(B475="",I475="",F475="",F475=Cadastros!$E$4,F475=Cadastros!$E$9),999999,IF(COUNTIFS($B$5:$B$504,B475,$I$5:$I$504,"&gt;"&amp;I475)=0,YEAR(I475)*12+MONTH(I475),999999))</f>
        <v>999999</v>
      </c>
      <c r="W475" s="58" t="n">
        <f aca="false">IF(U475="",999999,YEAR(U475)*12+MONTH(U475))</f>
        <v>999999</v>
      </c>
      <c r="X475" s="58" t="n">
        <f aca="false">IF(F475=Cadastros!$E$6,3,IF(F475=Cadastros!$E$7,6,IF(F475=Cadastros!$E$8,12,1)))</f>
        <v>1</v>
      </c>
    </row>
    <row r="476" customFormat="false" ht="15" hidden="false" customHeight="false" outlineLevel="0" collapsed="false">
      <c r="A476" s="49" t="str">
        <f aca="false">IF(B476="","",ROW()-4)</f>
        <v/>
      </c>
      <c r="B476" s="50"/>
      <c r="C476" s="50"/>
      <c r="D476" s="50"/>
      <c r="E476" s="51"/>
      <c r="F476" s="51"/>
      <c r="G476" s="51"/>
      <c r="H476" s="52"/>
      <c r="I476" s="53"/>
      <c r="J476" s="54"/>
      <c r="K476" s="53"/>
      <c r="L476" s="54"/>
      <c r="M476" s="55" t="str">
        <f aca="false">IF(L476="","",L476-J476)</f>
        <v/>
      </c>
      <c r="N476" s="56" t="str">
        <f aca="true">IF(I476="","",IF(K476&lt;&gt;"","PAGO",IF(I476&lt;TODAY(),"VENCIDO",IF(I476=TODAY(),"VENCE HOJE","A VENCER"))))</f>
        <v/>
      </c>
      <c r="O476" s="57" t="str">
        <f aca="true">IF(OR(I476="",K476&lt;&gt;""),"",I476-TODAY())</f>
        <v/>
      </c>
      <c r="P476" s="51"/>
      <c r="Q476" s="51"/>
      <c r="R476" s="51"/>
      <c r="S476" s="50"/>
      <c r="T476" s="50"/>
      <c r="U476" s="52"/>
      <c r="V476" s="58" t="n">
        <f aca="false">IF(OR(B476="",I476="",F476="",F476=Cadastros!$E$4,F476=Cadastros!$E$9),999999,IF(COUNTIFS($B$5:$B$504,B476,$I$5:$I$504,"&gt;"&amp;I476)=0,YEAR(I476)*12+MONTH(I476),999999))</f>
        <v>999999</v>
      </c>
      <c r="W476" s="58" t="n">
        <f aca="false">IF(U476="",999999,YEAR(U476)*12+MONTH(U476))</f>
        <v>999999</v>
      </c>
      <c r="X476" s="58" t="n">
        <f aca="false">IF(F476=Cadastros!$E$6,3,IF(F476=Cadastros!$E$7,6,IF(F476=Cadastros!$E$8,12,1)))</f>
        <v>1</v>
      </c>
    </row>
    <row r="477" customFormat="false" ht="15" hidden="false" customHeight="false" outlineLevel="0" collapsed="false">
      <c r="A477" s="49" t="str">
        <f aca="false">IF(B477="","",ROW()-4)</f>
        <v/>
      </c>
      <c r="B477" s="50"/>
      <c r="C477" s="50"/>
      <c r="D477" s="50"/>
      <c r="E477" s="51"/>
      <c r="F477" s="51"/>
      <c r="G477" s="51"/>
      <c r="H477" s="52"/>
      <c r="I477" s="53"/>
      <c r="J477" s="54"/>
      <c r="K477" s="53"/>
      <c r="L477" s="54"/>
      <c r="M477" s="55" t="str">
        <f aca="false">IF(L477="","",L477-J477)</f>
        <v/>
      </c>
      <c r="N477" s="56" t="str">
        <f aca="true">IF(I477="","",IF(K477&lt;&gt;"","PAGO",IF(I477&lt;TODAY(),"VENCIDO",IF(I477=TODAY(),"VENCE HOJE","A VENCER"))))</f>
        <v/>
      </c>
      <c r="O477" s="57" t="str">
        <f aca="true">IF(OR(I477="",K477&lt;&gt;""),"",I477-TODAY())</f>
        <v/>
      </c>
      <c r="P477" s="51"/>
      <c r="Q477" s="51"/>
      <c r="R477" s="51"/>
      <c r="S477" s="50"/>
      <c r="T477" s="50"/>
      <c r="U477" s="52"/>
      <c r="V477" s="58" t="n">
        <f aca="false">IF(OR(B477="",I477="",F477="",F477=Cadastros!$E$4,F477=Cadastros!$E$9),999999,IF(COUNTIFS($B$5:$B$504,B477,$I$5:$I$504,"&gt;"&amp;I477)=0,YEAR(I477)*12+MONTH(I477),999999))</f>
        <v>999999</v>
      </c>
      <c r="W477" s="58" t="n">
        <f aca="false">IF(U477="",999999,YEAR(U477)*12+MONTH(U477))</f>
        <v>999999</v>
      </c>
      <c r="X477" s="58" t="n">
        <f aca="false">IF(F477=Cadastros!$E$6,3,IF(F477=Cadastros!$E$7,6,IF(F477=Cadastros!$E$8,12,1)))</f>
        <v>1</v>
      </c>
    </row>
    <row r="478" customFormat="false" ht="15" hidden="false" customHeight="false" outlineLevel="0" collapsed="false">
      <c r="A478" s="49" t="str">
        <f aca="false">IF(B478="","",ROW()-4)</f>
        <v/>
      </c>
      <c r="B478" s="50"/>
      <c r="C478" s="50"/>
      <c r="D478" s="50"/>
      <c r="E478" s="51"/>
      <c r="F478" s="51"/>
      <c r="G478" s="51"/>
      <c r="H478" s="52"/>
      <c r="I478" s="53"/>
      <c r="J478" s="54"/>
      <c r="K478" s="53"/>
      <c r="L478" s="54"/>
      <c r="M478" s="55" t="str">
        <f aca="false">IF(L478="","",L478-J478)</f>
        <v/>
      </c>
      <c r="N478" s="56" t="str">
        <f aca="true">IF(I478="","",IF(K478&lt;&gt;"","PAGO",IF(I478&lt;TODAY(),"VENCIDO",IF(I478=TODAY(),"VENCE HOJE","A VENCER"))))</f>
        <v/>
      </c>
      <c r="O478" s="57" t="str">
        <f aca="true">IF(OR(I478="",K478&lt;&gt;""),"",I478-TODAY())</f>
        <v/>
      </c>
      <c r="P478" s="51"/>
      <c r="Q478" s="51"/>
      <c r="R478" s="51"/>
      <c r="S478" s="50"/>
      <c r="T478" s="50"/>
      <c r="U478" s="52"/>
      <c r="V478" s="58" t="n">
        <f aca="false">IF(OR(B478="",I478="",F478="",F478=Cadastros!$E$4,F478=Cadastros!$E$9),999999,IF(COUNTIFS($B$5:$B$504,B478,$I$5:$I$504,"&gt;"&amp;I478)=0,YEAR(I478)*12+MONTH(I478),999999))</f>
        <v>999999</v>
      </c>
      <c r="W478" s="58" t="n">
        <f aca="false">IF(U478="",999999,YEAR(U478)*12+MONTH(U478))</f>
        <v>999999</v>
      </c>
      <c r="X478" s="58" t="n">
        <f aca="false">IF(F478=Cadastros!$E$6,3,IF(F478=Cadastros!$E$7,6,IF(F478=Cadastros!$E$8,12,1)))</f>
        <v>1</v>
      </c>
    </row>
    <row r="479" customFormat="false" ht="15" hidden="false" customHeight="false" outlineLevel="0" collapsed="false">
      <c r="A479" s="49" t="str">
        <f aca="false">IF(B479="","",ROW()-4)</f>
        <v/>
      </c>
      <c r="B479" s="50"/>
      <c r="C479" s="50"/>
      <c r="D479" s="50"/>
      <c r="E479" s="51"/>
      <c r="F479" s="51"/>
      <c r="G479" s="51"/>
      <c r="H479" s="52"/>
      <c r="I479" s="53"/>
      <c r="J479" s="54"/>
      <c r="K479" s="53"/>
      <c r="L479" s="54"/>
      <c r="M479" s="55" t="str">
        <f aca="false">IF(L479="","",L479-J479)</f>
        <v/>
      </c>
      <c r="N479" s="56" t="str">
        <f aca="true">IF(I479="","",IF(K479&lt;&gt;"","PAGO",IF(I479&lt;TODAY(),"VENCIDO",IF(I479=TODAY(),"VENCE HOJE","A VENCER"))))</f>
        <v/>
      </c>
      <c r="O479" s="57" t="str">
        <f aca="true">IF(OR(I479="",K479&lt;&gt;""),"",I479-TODAY())</f>
        <v/>
      </c>
      <c r="P479" s="51"/>
      <c r="Q479" s="51"/>
      <c r="R479" s="51"/>
      <c r="S479" s="50"/>
      <c r="T479" s="50"/>
      <c r="U479" s="52"/>
      <c r="V479" s="58" t="n">
        <f aca="false">IF(OR(B479="",I479="",F479="",F479=Cadastros!$E$4,F479=Cadastros!$E$9),999999,IF(COUNTIFS($B$5:$B$504,B479,$I$5:$I$504,"&gt;"&amp;I479)=0,YEAR(I479)*12+MONTH(I479),999999))</f>
        <v>999999</v>
      </c>
      <c r="W479" s="58" t="n">
        <f aca="false">IF(U479="",999999,YEAR(U479)*12+MONTH(U479))</f>
        <v>999999</v>
      </c>
      <c r="X479" s="58" t="n">
        <f aca="false">IF(F479=Cadastros!$E$6,3,IF(F479=Cadastros!$E$7,6,IF(F479=Cadastros!$E$8,12,1)))</f>
        <v>1</v>
      </c>
    </row>
    <row r="480" customFormat="false" ht="15" hidden="false" customHeight="false" outlineLevel="0" collapsed="false">
      <c r="A480" s="49" t="str">
        <f aca="false">IF(B480="","",ROW()-4)</f>
        <v/>
      </c>
      <c r="B480" s="50"/>
      <c r="C480" s="50"/>
      <c r="D480" s="50"/>
      <c r="E480" s="51"/>
      <c r="F480" s="51"/>
      <c r="G480" s="51"/>
      <c r="H480" s="52"/>
      <c r="I480" s="53"/>
      <c r="J480" s="54"/>
      <c r="K480" s="53"/>
      <c r="L480" s="54"/>
      <c r="M480" s="55" t="str">
        <f aca="false">IF(L480="","",L480-J480)</f>
        <v/>
      </c>
      <c r="N480" s="56" t="str">
        <f aca="true">IF(I480="","",IF(K480&lt;&gt;"","PAGO",IF(I480&lt;TODAY(),"VENCIDO",IF(I480=TODAY(),"VENCE HOJE","A VENCER"))))</f>
        <v/>
      </c>
      <c r="O480" s="57" t="str">
        <f aca="true">IF(OR(I480="",K480&lt;&gt;""),"",I480-TODAY())</f>
        <v/>
      </c>
      <c r="P480" s="51"/>
      <c r="Q480" s="51"/>
      <c r="R480" s="51"/>
      <c r="S480" s="50"/>
      <c r="T480" s="50"/>
      <c r="U480" s="52"/>
      <c r="V480" s="58" t="n">
        <f aca="false">IF(OR(B480="",I480="",F480="",F480=Cadastros!$E$4,F480=Cadastros!$E$9),999999,IF(COUNTIFS($B$5:$B$504,B480,$I$5:$I$504,"&gt;"&amp;I480)=0,YEAR(I480)*12+MONTH(I480),999999))</f>
        <v>999999</v>
      </c>
      <c r="W480" s="58" t="n">
        <f aca="false">IF(U480="",999999,YEAR(U480)*12+MONTH(U480))</f>
        <v>999999</v>
      </c>
      <c r="X480" s="58" t="n">
        <f aca="false">IF(F480=Cadastros!$E$6,3,IF(F480=Cadastros!$E$7,6,IF(F480=Cadastros!$E$8,12,1)))</f>
        <v>1</v>
      </c>
    </row>
    <row r="481" customFormat="false" ht="15" hidden="false" customHeight="false" outlineLevel="0" collapsed="false">
      <c r="A481" s="49" t="str">
        <f aca="false">IF(B481="","",ROW()-4)</f>
        <v/>
      </c>
      <c r="B481" s="50"/>
      <c r="C481" s="50"/>
      <c r="D481" s="50"/>
      <c r="E481" s="51"/>
      <c r="F481" s="51"/>
      <c r="G481" s="51"/>
      <c r="H481" s="52"/>
      <c r="I481" s="53"/>
      <c r="J481" s="54"/>
      <c r="K481" s="53"/>
      <c r="L481" s="54"/>
      <c r="M481" s="55" t="str">
        <f aca="false">IF(L481="","",L481-J481)</f>
        <v/>
      </c>
      <c r="N481" s="56" t="str">
        <f aca="true">IF(I481="","",IF(K481&lt;&gt;"","PAGO",IF(I481&lt;TODAY(),"VENCIDO",IF(I481=TODAY(),"VENCE HOJE","A VENCER"))))</f>
        <v/>
      </c>
      <c r="O481" s="57" t="str">
        <f aca="true">IF(OR(I481="",K481&lt;&gt;""),"",I481-TODAY())</f>
        <v/>
      </c>
      <c r="P481" s="51"/>
      <c r="Q481" s="51"/>
      <c r="R481" s="51"/>
      <c r="S481" s="50"/>
      <c r="T481" s="50"/>
      <c r="U481" s="52"/>
      <c r="V481" s="58" t="n">
        <f aca="false">IF(OR(B481="",I481="",F481="",F481=Cadastros!$E$4,F481=Cadastros!$E$9),999999,IF(COUNTIFS($B$5:$B$504,B481,$I$5:$I$504,"&gt;"&amp;I481)=0,YEAR(I481)*12+MONTH(I481),999999))</f>
        <v>999999</v>
      </c>
      <c r="W481" s="58" t="n">
        <f aca="false">IF(U481="",999999,YEAR(U481)*12+MONTH(U481))</f>
        <v>999999</v>
      </c>
      <c r="X481" s="58" t="n">
        <f aca="false">IF(F481=Cadastros!$E$6,3,IF(F481=Cadastros!$E$7,6,IF(F481=Cadastros!$E$8,12,1)))</f>
        <v>1</v>
      </c>
    </row>
    <row r="482" customFormat="false" ht="15" hidden="false" customHeight="false" outlineLevel="0" collapsed="false">
      <c r="A482" s="49" t="str">
        <f aca="false">IF(B482="","",ROW()-4)</f>
        <v/>
      </c>
      <c r="B482" s="50"/>
      <c r="C482" s="50"/>
      <c r="D482" s="50"/>
      <c r="E482" s="51"/>
      <c r="F482" s="51"/>
      <c r="G482" s="51"/>
      <c r="H482" s="52"/>
      <c r="I482" s="53"/>
      <c r="J482" s="54"/>
      <c r="K482" s="53"/>
      <c r="L482" s="54"/>
      <c r="M482" s="55" t="str">
        <f aca="false">IF(L482="","",L482-J482)</f>
        <v/>
      </c>
      <c r="N482" s="56" t="str">
        <f aca="true">IF(I482="","",IF(K482&lt;&gt;"","PAGO",IF(I482&lt;TODAY(),"VENCIDO",IF(I482=TODAY(),"VENCE HOJE","A VENCER"))))</f>
        <v/>
      </c>
      <c r="O482" s="57" t="str">
        <f aca="true">IF(OR(I482="",K482&lt;&gt;""),"",I482-TODAY())</f>
        <v/>
      </c>
      <c r="P482" s="51"/>
      <c r="Q482" s="51"/>
      <c r="R482" s="51"/>
      <c r="S482" s="50"/>
      <c r="T482" s="50"/>
      <c r="U482" s="52"/>
      <c r="V482" s="58" t="n">
        <f aca="false">IF(OR(B482="",I482="",F482="",F482=Cadastros!$E$4,F482=Cadastros!$E$9),999999,IF(COUNTIFS($B$5:$B$504,B482,$I$5:$I$504,"&gt;"&amp;I482)=0,YEAR(I482)*12+MONTH(I482),999999))</f>
        <v>999999</v>
      </c>
      <c r="W482" s="58" t="n">
        <f aca="false">IF(U482="",999999,YEAR(U482)*12+MONTH(U482))</f>
        <v>999999</v>
      </c>
      <c r="X482" s="58" t="n">
        <f aca="false">IF(F482=Cadastros!$E$6,3,IF(F482=Cadastros!$E$7,6,IF(F482=Cadastros!$E$8,12,1)))</f>
        <v>1</v>
      </c>
    </row>
    <row r="483" customFormat="false" ht="15" hidden="false" customHeight="false" outlineLevel="0" collapsed="false">
      <c r="A483" s="49" t="str">
        <f aca="false">IF(B483="","",ROW()-4)</f>
        <v/>
      </c>
      <c r="B483" s="50"/>
      <c r="C483" s="50"/>
      <c r="D483" s="50"/>
      <c r="E483" s="51"/>
      <c r="F483" s="51"/>
      <c r="G483" s="51"/>
      <c r="H483" s="52"/>
      <c r="I483" s="53"/>
      <c r="J483" s="54"/>
      <c r="K483" s="53"/>
      <c r="L483" s="54"/>
      <c r="M483" s="55" t="str">
        <f aca="false">IF(L483="","",L483-J483)</f>
        <v/>
      </c>
      <c r="N483" s="56" t="str">
        <f aca="true">IF(I483="","",IF(K483&lt;&gt;"","PAGO",IF(I483&lt;TODAY(),"VENCIDO",IF(I483=TODAY(),"VENCE HOJE","A VENCER"))))</f>
        <v/>
      </c>
      <c r="O483" s="57" t="str">
        <f aca="true">IF(OR(I483="",K483&lt;&gt;""),"",I483-TODAY())</f>
        <v/>
      </c>
      <c r="P483" s="51"/>
      <c r="Q483" s="51"/>
      <c r="R483" s="51"/>
      <c r="S483" s="50"/>
      <c r="T483" s="50"/>
      <c r="U483" s="52"/>
      <c r="V483" s="58" t="n">
        <f aca="false">IF(OR(B483="",I483="",F483="",F483=Cadastros!$E$4,F483=Cadastros!$E$9),999999,IF(COUNTIFS($B$5:$B$504,B483,$I$5:$I$504,"&gt;"&amp;I483)=0,YEAR(I483)*12+MONTH(I483),999999))</f>
        <v>999999</v>
      </c>
      <c r="W483" s="58" t="n">
        <f aca="false">IF(U483="",999999,YEAR(U483)*12+MONTH(U483))</f>
        <v>999999</v>
      </c>
      <c r="X483" s="58" t="n">
        <f aca="false">IF(F483=Cadastros!$E$6,3,IF(F483=Cadastros!$E$7,6,IF(F483=Cadastros!$E$8,12,1)))</f>
        <v>1</v>
      </c>
    </row>
    <row r="484" customFormat="false" ht="15" hidden="false" customHeight="false" outlineLevel="0" collapsed="false">
      <c r="A484" s="49" t="str">
        <f aca="false">IF(B484="","",ROW()-4)</f>
        <v/>
      </c>
      <c r="B484" s="50"/>
      <c r="C484" s="50"/>
      <c r="D484" s="50"/>
      <c r="E484" s="51"/>
      <c r="F484" s="51"/>
      <c r="G484" s="51"/>
      <c r="H484" s="52"/>
      <c r="I484" s="53"/>
      <c r="J484" s="54"/>
      <c r="K484" s="53"/>
      <c r="L484" s="54"/>
      <c r="M484" s="55" t="str">
        <f aca="false">IF(L484="","",L484-J484)</f>
        <v/>
      </c>
      <c r="N484" s="56" t="str">
        <f aca="true">IF(I484="","",IF(K484&lt;&gt;"","PAGO",IF(I484&lt;TODAY(),"VENCIDO",IF(I484=TODAY(),"VENCE HOJE","A VENCER"))))</f>
        <v/>
      </c>
      <c r="O484" s="57" t="str">
        <f aca="true">IF(OR(I484="",K484&lt;&gt;""),"",I484-TODAY())</f>
        <v/>
      </c>
      <c r="P484" s="51"/>
      <c r="Q484" s="51"/>
      <c r="R484" s="51"/>
      <c r="S484" s="50"/>
      <c r="T484" s="50"/>
      <c r="U484" s="52"/>
      <c r="V484" s="58" t="n">
        <f aca="false">IF(OR(B484="",I484="",F484="",F484=Cadastros!$E$4,F484=Cadastros!$E$9),999999,IF(COUNTIFS($B$5:$B$504,B484,$I$5:$I$504,"&gt;"&amp;I484)=0,YEAR(I484)*12+MONTH(I484),999999))</f>
        <v>999999</v>
      </c>
      <c r="W484" s="58" t="n">
        <f aca="false">IF(U484="",999999,YEAR(U484)*12+MONTH(U484))</f>
        <v>999999</v>
      </c>
      <c r="X484" s="58" t="n">
        <f aca="false">IF(F484=Cadastros!$E$6,3,IF(F484=Cadastros!$E$7,6,IF(F484=Cadastros!$E$8,12,1)))</f>
        <v>1</v>
      </c>
    </row>
    <row r="485" customFormat="false" ht="15" hidden="false" customHeight="false" outlineLevel="0" collapsed="false">
      <c r="A485" s="49" t="str">
        <f aca="false">IF(B485="","",ROW()-4)</f>
        <v/>
      </c>
      <c r="B485" s="50"/>
      <c r="C485" s="50"/>
      <c r="D485" s="50"/>
      <c r="E485" s="51"/>
      <c r="F485" s="51"/>
      <c r="G485" s="51"/>
      <c r="H485" s="52"/>
      <c r="I485" s="53"/>
      <c r="J485" s="54"/>
      <c r="K485" s="53"/>
      <c r="L485" s="54"/>
      <c r="M485" s="55" t="str">
        <f aca="false">IF(L485="","",L485-J485)</f>
        <v/>
      </c>
      <c r="N485" s="56" t="str">
        <f aca="true">IF(I485="","",IF(K485&lt;&gt;"","PAGO",IF(I485&lt;TODAY(),"VENCIDO",IF(I485=TODAY(),"VENCE HOJE","A VENCER"))))</f>
        <v/>
      </c>
      <c r="O485" s="57" t="str">
        <f aca="true">IF(OR(I485="",K485&lt;&gt;""),"",I485-TODAY())</f>
        <v/>
      </c>
      <c r="P485" s="51"/>
      <c r="Q485" s="51"/>
      <c r="R485" s="51"/>
      <c r="S485" s="50"/>
      <c r="T485" s="50"/>
      <c r="U485" s="52"/>
      <c r="V485" s="58" t="n">
        <f aca="false">IF(OR(B485="",I485="",F485="",F485=Cadastros!$E$4,F485=Cadastros!$E$9),999999,IF(COUNTIFS($B$5:$B$504,B485,$I$5:$I$504,"&gt;"&amp;I485)=0,YEAR(I485)*12+MONTH(I485),999999))</f>
        <v>999999</v>
      </c>
      <c r="W485" s="58" t="n">
        <f aca="false">IF(U485="",999999,YEAR(U485)*12+MONTH(U485))</f>
        <v>999999</v>
      </c>
      <c r="X485" s="58" t="n">
        <f aca="false">IF(F485=Cadastros!$E$6,3,IF(F485=Cadastros!$E$7,6,IF(F485=Cadastros!$E$8,12,1)))</f>
        <v>1</v>
      </c>
    </row>
    <row r="486" customFormat="false" ht="15" hidden="false" customHeight="false" outlineLevel="0" collapsed="false">
      <c r="A486" s="49" t="str">
        <f aca="false">IF(B486="","",ROW()-4)</f>
        <v/>
      </c>
      <c r="B486" s="50"/>
      <c r="C486" s="50"/>
      <c r="D486" s="50"/>
      <c r="E486" s="51"/>
      <c r="F486" s="51"/>
      <c r="G486" s="51"/>
      <c r="H486" s="52"/>
      <c r="I486" s="53"/>
      <c r="J486" s="54"/>
      <c r="K486" s="53"/>
      <c r="L486" s="54"/>
      <c r="M486" s="55" t="str">
        <f aca="false">IF(L486="","",L486-J486)</f>
        <v/>
      </c>
      <c r="N486" s="56" t="str">
        <f aca="true">IF(I486="","",IF(K486&lt;&gt;"","PAGO",IF(I486&lt;TODAY(),"VENCIDO",IF(I486=TODAY(),"VENCE HOJE","A VENCER"))))</f>
        <v/>
      </c>
      <c r="O486" s="57" t="str">
        <f aca="true">IF(OR(I486="",K486&lt;&gt;""),"",I486-TODAY())</f>
        <v/>
      </c>
      <c r="P486" s="51"/>
      <c r="Q486" s="51"/>
      <c r="R486" s="51"/>
      <c r="S486" s="50"/>
      <c r="T486" s="50"/>
      <c r="U486" s="52"/>
      <c r="V486" s="58" t="n">
        <f aca="false">IF(OR(B486="",I486="",F486="",F486=Cadastros!$E$4,F486=Cadastros!$E$9),999999,IF(COUNTIFS($B$5:$B$504,B486,$I$5:$I$504,"&gt;"&amp;I486)=0,YEAR(I486)*12+MONTH(I486),999999))</f>
        <v>999999</v>
      </c>
      <c r="W486" s="58" t="n">
        <f aca="false">IF(U486="",999999,YEAR(U486)*12+MONTH(U486))</f>
        <v>999999</v>
      </c>
      <c r="X486" s="58" t="n">
        <f aca="false">IF(F486=Cadastros!$E$6,3,IF(F486=Cadastros!$E$7,6,IF(F486=Cadastros!$E$8,12,1)))</f>
        <v>1</v>
      </c>
    </row>
    <row r="487" customFormat="false" ht="15" hidden="false" customHeight="false" outlineLevel="0" collapsed="false">
      <c r="A487" s="49" t="str">
        <f aca="false">IF(B487="","",ROW()-4)</f>
        <v/>
      </c>
      <c r="B487" s="50"/>
      <c r="C487" s="50"/>
      <c r="D487" s="50"/>
      <c r="E487" s="51"/>
      <c r="F487" s="51"/>
      <c r="G487" s="51"/>
      <c r="H487" s="52"/>
      <c r="I487" s="53"/>
      <c r="J487" s="54"/>
      <c r="K487" s="53"/>
      <c r="L487" s="54"/>
      <c r="M487" s="55" t="str">
        <f aca="false">IF(L487="","",L487-J487)</f>
        <v/>
      </c>
      <c r="N487" s="56" t="str">
        <f aca="true">IF(I487="","",IF(K487&lt;&gt;"","PAGO",IF(I487&lt;TODAY(),"VENCIDO",IF(I487=TODAY(),"VENCE HOJE","A VENCER"))))</f>
        <v/>
      </c>
      <c r="O487" s="57" t="str">
        <f aca="true">IF(OR(I487="",K487&lt;&gt;""),"",I487-TODAY())</f>
        <v/>
      </c>
      <c r="P487" s="51"/>
      <c r="Q487" s="51"/>
      <c r="R487" s="51"/>
      <c r="S487" s="50"/>
      <c r="T487" s="50"/>
      <c r="U487" s="52"/>
      <c r="V487" s="58" t="n">
        <f aca="false">IF(OR(B487="",I487="",F487="",F487=Cadastros!$E$4,F487=Cadastros!$E$9),999999,IF(COUNTIFS($B$5:$B$504,B487,$I$5:$I$504,"&gt;"&amp;I487)=0,YEAR(I487)*12+MONTH(I487),999999))</f>
        <v>999999</v>
      </c>
      <c r="W487" s="58" t="n">
        <f aca="false">IF(U487="",999999,YEAR(U487)*12+MONTH(U487))</f>
        <v>999999</v>
      </c>
      <c r="X487" s="58" t="n">
        <f aca="false">IF(F487=Cadastros!$E$6,3,IF(F487=Cadastros!$E$7,6,IF(F487=Cadastros!$E$8,12,1)))</f>
        <v>1</v>
      </c>
    </row>
    <row r="488" customFormat="false" ht="15" hidden="false" customHeight="false" outlineLevel="0" collapsed="false">
      <c r="A488" s="49" t="str">
        <f aca="false">IF(B488="","",ROW()-4)</f>
        <v/>
      </c>
      <c r="B488" s="50"/>
      <c r="C488" s="50"/>
      <c r="D488" s="50"/>
      <c r="E488" s="51"/>
      <c r="F488" s="51"/>
      <c r="G488" s="51"/>
      <c r="H488" s="52"/>
      <c r="I488" s="53"/>
      <c r="J488" s="54"/>
      <c r="K488" s="53"/>
      <c r="L488" s="54"/>
      <c r="M488" s="55" t="str">
        <f aca="false">IF(L488="","",L488-J488)</f>
        <v/>
      </c>
      <c r="N488" s="56" t="str">
        <f aca="true">IF(I488="","",IF(K488&lt;&gt;"","PAGO",IF(I488&lt;TODAY(),"VENCIDO",IF(I488=TODAY(),"VENCE HOJE","A VENCER"))))</f>
        <v/>
      </c>
      <c r="O488" s="57" t="str">
        <f aca="true">IF(OR(I488="",K488&lt;&gt;""),"",I488-TODAY())</f>
        <v/>
      </c>
      <c r="P488" s="51"/>
      <c r="Q488" s="51"/>
      <c r="R488" s="51"/>
      <c r="S488" s="50"/>
      <c r="T488" s="50"/>
      <c r="U488" s="52"/>
      <c r="V488" s="58" t="n">
        <f aca="false">IF(OR(B488="",I488="",F488="",F488=Cadastros!$E$4,F488=Cadastros!$E$9),999999,IF(COUNTIFS($B$5:$B$504,B488,$I$5:$I$504,"&gt;"&amp;I488)=0,YEAR(I488)*12+MONTH(I488),999999))</f>
        <v>999999</v>
      </c>
      <c r="W488" s="58" t="n">
        <f aca="false">IF(U488="",999999,YEAR(U488)*12+MONTH(U488))</f>
        <v>999999</v>
      </c>
      <c r="X488" s="58" t="n">
        <f aca="false">IF(F488=Cadastros!$E$6,3,IF(F488=Cadastros!$E$7,6,IF(F488=Cadastros!$E$8,12,1)))</f>
        <v>1</v>
      </c>
    </row>
    <row r="489" customFormat="false" ht="15" hidden="false" customHeight="false" outlineLevel="0" collapsed="false">
      <c r="A489" s="49" t="str">
        <f aca="false">IF(B489="","",ROW()-4)</f>
        <v/>
      </c>
      <c r="B489" s="50"/>
      <c r="C489" s="50"/>
      <c r="D489" s="50"/>
      <c r="E489" s="51"/>
      <c r="F489" s="51"/>
      <c r="G489" s="51"/>
      <c r="H489" s="52"/>
      <c r="I489" s="53"/>
      <c r="J489" s="54"/>
      <c r="K489" s="53"/>
      <c r="L489" s="54"/>
      <c r="M489" s="55" t="str">
        <f aca="false">IF(L489="","",L489-J489)</f>
        <v/>
      </c>
      <c r="N489" s="56" t="str">
        <f aca="true">IF(I489="","",IF(K489&lt;&gt;"","PAGO",IF(I489&lt;TODAY(),"VENCIDO",IF(I489=TODAY(),"VENCE HOJE","A VENCER"))))</f>
        <v/>
      </c>
      <c r="O489" s="57" t="str">
        <f aca="true">IF(OR(I489="",K489&lt;&gt;""),"",I489-TODAY())</f>
        <v/>
      </c>
      <c r="P489" s="51"/>
      <c r="Q489" s="51"/>
      <c r="R489" s="51"/>
      <c r="S489" s="50"/>
      <c r="T489" s="50"/>
      <c r="U489" s="52"/>
      <c r="V489" s="58" t="n">
        <f aca="false">IF(OR(B489="",I489="",F489="",F489=Cadastros!$E$4,F489=Cadastros!$E$9),999999,IF(COUNTIFS($B$5:$B$504,B489,$I$5:$I$504,"&gt;"&amp;I489)=0,YEAR(I489)*12+MONTH(I489),999999))</f>
        <v>999999</v>
      </c>
      <c r="W489" s="58" t="n">
        <f aca="false">IF(U489="",999999,YEAR(U489)*12+MONTH(U489))</f>
        <v>999999</v>
      </c>
      <c r="X489" s="58" t="n">
        <f aca="false">IF(F489=Cadastros!$E$6,3,IF(F489=Cadastros!$E$7,6,IF(F489=Cadastros!$E$8,12,1)))</f>
        <v>1</v>
      </c>
    </row>
    <row r="490" customFormat="false" ht="15" hidden="false" customHeight="false" outlineLevel="0" collapsed="false">
      <c r="A490" s="49" t="str">
        <f aca="false">IF(B490="","",ROW()-4)</f>
        <v/>
      </c>
      <c r="B490" s="50"/>
      <c r="C490" s="50"/>
      <c r="D490" s="50"/>
      <c r="E490" s="51"/>
      <c r="F490" s="51"/>
      <c r="G490" s="51"/>
      <c r="H490" s="52"/>
      <c r="I490" s="53"/>
      <c r="J490" s="54"/>
      <c r="K490" s="53"/>
      <c r="L490" s="54"/>
      <c r="M490" s="55" t="str">
        <f aca="false">IF(L490="","",L490-J490)</f>
        <v/>
      </c>
      <c r="N490" s="56" t="str">
        <f aca="true">IF(I490="","",IF(K490&lt;&gt;"","PAGO",IF(I490&lt;TODAY(),"VENCIDO",IF(I490=TODAY(),"VENCE HOJE","A VENCER"))))</f>
        <v/>
      </c>
      <c r="O490" s="57" t="str">
        <f aca="true">IF(OR(I490="",K490&lt;&gt;""),"",I490-TODAY())</f>
        <v/>
      </c>
      <c r="P490" s="51"/>
      <c r="Q490" s="51"/>
      <c r="R490" s="51"/>
      <c r="S490" s="50"/>
      <c r="T490" s="50"/>
      <c r="U490" s="52"/>
      <c r="V490" s="58" t="n">
        <f aca="false">IF(OR(B490="",I490="",F490="",F490=Cadastros!$E$4,F490=Cadastros!$E$9),999999,IF(COUNTIFS($B$5:$B$504,B490,$I$5:$I$504,"&gt;"&amp;I490)=0,YEAR(I490)*12+MONTH(I490),999999))</f>
        <v>999999</v>
      </c>
      <c r="W490" s="58" t="n">
        <f aca="false">IF(U490="",999999,YEAR(U490)*12+MONTH(U490))</f>
        <v>999999</v>
      </c>
      <c r="X490" s="58" t="n">
        <f aca="false">IF(F490=Cadastros!$E$6,3,IF(F490=Cadastros!$E$7,6,IF(F490=Cadastros!$E$8,12,1)))</f>
        <v>1</v>
      </c>
    </row>
    <row r="491" customFormat="false" ht="15" hidden="false" customHeight="false" outlineLevel="0" collapsed="false">
      <c r="A491" s="49" t="str">
        <f aca="false">IF(B491="","",ROW()-4)</f>
        <v/>
      </c>
      <c r="B491" s="50"/>
      <c r="C491" s="50"/>
      <c r="D491" s="50"/>
      <c r="E491" s="51"/>
      <c r="F491" s="51"/>
      <c r="G491" s="51"/>
      <c r="H491" s="52"/>
      <c r="I491" s="53"/>
      <c r="J491" s="54"/>
      <c r="K491" s="53"/>
      <c r="L491" s="54"/>
      <c r="M491" s="55" t="str">
        <f aca="false">IF(L491="","",L491-J491)</f>
        <v/>
      </c>
      <c r="N491" s="56" t="str">
        <f aca="true">IF(I491="","",IF(K491&lt;&gt;"","PAGO",IF(I491&lt;TODAY(),"VENCIDO",IF(I491=TODAY(),"VENCE HOJE","A VENCER"))))</f>
        <v/>
      </c>
      <c r="O491" s="57" t="str">
        <f aca="true">IF(OR(I491="",K491&lt;&gt;""),"",I491-TODAY())</f>
        <v/>
      </c>
      <c r="P491" s="51"/>
      <c r="Q491" s="51"/>
      <c r="R491" s="51"/>
      <c r="S491" s="50"/>
      <c r="T491" s="50"/>
      <c r="U491" s="52"/>
      <c r="V491" s="58" t="n">
        <f aca="false">IF(OR(B491="",I491="",F491="",F491=Cadastros!$E$4,F491=Cadastros!$E$9),999999,IF(COUNTIFS($B$5:$B$504,B491,$I$5:$I$504,"&gt;"&amp;I491)=0,YEAR(I491)*12+MONTH(I491),999999))</f>
        <v>999999</v>
      </c>
      <c r="W491" s="58" t="n">
        <f aca="false">IF(U491="",999999,YEAR(U491)*12+MONTH(U491))</f>
        <v>999999</v>
      </c>
      <c r="X491" s="58" t="n">
        <f aca="false">IF(F491=Cadastros!$E$6,3,IF(F491=Cadastros!$E$7,6,IF(F491=Cadastros!$E$8,12,1)))</f>
        <v>1</v>
      </c>
    </row>
    <row r="492" customFormat="false" ht="15" hidden="false" customHeight="false" outlineLevel="0" collapsed="false">
      <c r="A492" s="49" t="str">
        <f aca="false">IF(B492="","",ROW()-4)</f>
        <v/>
      </c>
      <c r="B492" s="50"/>
      <c r="C492" s="50"/>
      <c r="D492" s="50"/>
      <c r="E492" s="51"/>
      <c r="F492" s="51"/>
      <c r="G492" s="51"/>
      <c r="H492" s="52"/>
      <c r="I492" s="53"/>
      <c r="J492" s="54"/>
      <c r="K492" s="53"/>
      <c r="L492" s="54"/>
      <c r="M492" s="55" t="str">
        <f aca="false">IF(L492="","",L492-J492)</f>
        <v/>
      </c>
      <c r="N492" s="56" t="str">
        <f aca="true">IF(I492="","",IF(K492&lt;&gt;"","PAGO",IF(I492&lt;TODAY(),"VENCIDO",IF(I492=TODAY(),"VENCE HOJE","A VENCER"))))</f>
        <v/>
      </c>
      <c r="O492" s="57" t="str">
        <f aca="true">IF(OR(I492="",K492&lt;&gt;""),"",I492-TODAY())</f>
        <v/>
      </c>
      <c r="P492" s="51"/>
      <c r="Q492" s="51"/>
      <c r="R492" s="51"/>
      <c r="S492" s="50"/>
      <c r="T492" s="50"/>
      <c r="U492" s="52"/>
      <c r="V492" s="58" t="n">
        <f aca="false">IF(OR(B492="",I492="",F492="",F492=Cadastros!$E$4,F492=Cadastros!$E$9),999999,IF(COUNTIFS($B$5:$B$504,B492,$I$5:$I$504,"&gt;"&amp;I492)=0,YEAR(I492)*12+MONTH(I492),999999))</f>
        <v>999999</v>
      </c>
      <c r="W492" s="58" t="n">
        <f aca="false">IF(U492="",999999,YEAR(U492)*12+MONTH(U492))</f>
        <v>999999</v>
      </c>
      <c r="X492" s="58" t="n">
        <f aca="false">IF(F492=Cadastros!$E$6,3,IF(F492=Cadastros!$E$7,6,IF(F492=Cadastros!$E$8,12,1)))</f>
        <v>1</v>
      </c>
    </row>
    <row r="493" customFormat="false" ht="15" hidden="false" customHeight="false" outlineLevel="0" collapsed="false">
      <c r="A493" s="49" t="str">
        <f aca="false">IF(B493="","",ROW()-4)</f>
        <v/>
      </c>
      <c r="B493" s="50"/>
      <c r="C493" s="50"/>
      <c r="D493" s="50"/>
      <c r="E493" s="51"/>
      <c r="F493" s="51"/>
      <c r="G493" s="51"/>
      <c r="H493" s="52"/>
      <c r="I493" s="53"/>
      <c r="J493" s="54"/>
      <c r="K493" s="53"/>
      <c r="L493" s="54"/>
      <c r="M493" s="55" t="str">
        <f aca="false">IF(L493="","",L493-J493)</f>
        <v/>
      </c>
      <c r="N493" s="56" t="str">
        <f aca="true">IF(I493="","",IF(K493&lt;&gt;"","PAGO",IF(I493&lt;TODAY(),"VENCIDO",IF(I493=TODAY(),"VENCE HOJE","A VENCER"))))</f>
        <v/>
      </c>
      <c r="O493" s="57" t="str">
        <f aca="true">IF(OR(I493="",K493&lt;&gt;""),"",I493-TODAY())</f>
        <v/>
      </c>
      <c r="P493" s="51"/>
      <c r="Q493" s="51"/>
      <c r="R493" s="51"/>
      <c r="S493" s="50"/>
      <c r="T493" s="50"/>
      <c r="U493" s="52"/>
      <c r="V493" s="58" t="n">
        <f aca="false">IF(OR(B493="",I493="",F493="",F493=Cadastros!$E$4,F493=Cadastros!$E$9),999999,IF(COUNTIFS($B$5:$B$504,B493,$I$5:$I$504,"&gt;"&amp;I493)=0,YEAR(I493)*12+MONTH(I493),999999))</f>
        <v>999999</v>
      </c>
      <c r="W493" s="58" t="n">
        <f aca="false">IF(U493="",999999,YEAR(U493)*12+MONTH(U493))</f>
        <v>999999</v>
      </c>
      <c r="X493" s="58" t="n">
        <f aca="false">IF(F493=Cadastros!$E$6,3,IF(F493=Cadastros!$E$7,6,IF(F493=Cadastros!$E$8,12,1)))</f>
        <v>1</v>
      </c>
    </row>
    <row r="494" customFormat="false" ht="15" hidden="false" customHeight="false" outlineLevel="0" collapsed="false">
      <c r="A494" s="49" t="str">
        <f aca="false">IF(B494="","",ROW()-4)</f>
        <v/>
      </c>
      <c r="B494" s="50"/>
      <c r="C494" s="50"/>
      <c r="D494" s="50"/>
      <c r="E494" s="51"/>
      <c r="F494" s="51"/>
      <c r="G494" s="51"/>
      <c r="H494" s="52"/>
      <c r="I494" s="53"/>
      <c r="J494" s="54"/>
      <c r="K494" s="53"/>
      <c r="L494" s="54"/>
      <c r="M494" s="55" t="str">
        <f aca="false">IF(L494="","",L494-J494)</f>
        <v/>
      </c>
      <c r="N494" s="56" t="str">
        <f aca="true">IF(I494="","",IF(K494&lt;&gt;"","PAGO",IF(I494&lt;TODAY(),"VENCIDO",IF(I494=TODAY(),"VENCE HOJE","A VENCER"))))</f>
        <v/>
      </c>
      <c r="O494" s="57" t="str">
        <f aca="true">IF(OR(I494="",K494&lt;&gt;""),"",I494-TODAY())</f>
        <v/>
      </c>
      <c r="P494" s="51"/>
      <c r="Q494" s="51"/>
      <c r="R494" s="51"/>
      <c r="S494" s="50"/>
      <c r="T494" s="50"/>
      <c r="U494" s="52"/>
      <c r="V494" s="58" t="n">
        <f aca="false">IF(OR(B494="",I494="",F494="",F494=Cadastros!$E$4,F494=Cadastros!$E$9),999999,IF(COUNTIFS($B$5:$B$504,B494,$I$5:$I$504,"&gt;"&amp;I494)=0,YEAR(I494)*12+MONTH(I494),999999))</f>
        <v>999999</v>
      </c>
      <c r="W494" s="58" t="n">
        <f aca="false">IF(U494="",999999,YEAR(U494)*12+MONTH(U494))</f>
        <v>999999</v>
      </c>
      <c r="X494" s="58" t="n">
        <f aca="false">IF(F494=Cadastros!$E$6,3,IF(F494=Cadastros!$E$7,6,IF(F494=Cadastros!$E$8,12,1)))</f>
        <v>1</v>
      </c>
    </row>
    <row r="495" customFormat="false" ht="15" hidden="false" customHeight="false" outlineLevel="0" collapsed="false">
      <c r="A495" s="49" t="str">
        <f aca="false">IF(B495="","",ROW()-4)</f>
        <v/>
      </c>
      <c r="B495" s="50"/>
      <c r="C495" s="50"/>
      <c r="D495" s="50"/>
      <c r="E495" s="51"/>
      <c r="F495" s="51"/>
      <c r="G495" s="51"/>
      <c r="H495" s="52"/>
      <c r="I495" s="53"/>
      <c r="J495" s="54"/>
      <c r="K495" s="53"/>
      <c r="L495" s="54"/>
      <c r="M495" s="55" t="str">
        <f aca="false">IF(L495="","",L495-J495)</f>
        <v/>
      </c>
      <c r="N495" s="56" t="str">
        <f aca="true">IF(I495="","",IF(K495&lt;&gt;"","PAGO",IF(I495&lt;TODAY(),"VENCIDO",IF(I495=TODAY(),"VENCE HOJE","A VENCER"))))</f>
        <v/>
      </c>
      <c r="O495" s="57" t="str">
        <f aca="true">IF(OR(I495="",K495&lt;&gt;""),"",I495-TODAY())</f>
        <v/>
      </c>
      <c r="P495" s="51"/>
      <c r="Q495" s="51"/>
      <c r="R495" s="51"/>
      <c r="S495" s="50"/>
      <c r="T495" s="50"/>
      <c r="U495" s="52"/>
      <c r="V495" s="58" t="n">
        <f aca="false">IF(OR(B495="",I495="",F495="",F495=Cadastros!$E$4,F495=Cadastros!$E$9),999999,IF(COUNTIFS($B$5:$B$504,B495,$I$5:$I$504,"&gt;"&amp;I495)=0,YEAR(I495)*12+MONTH(I495),999999))</f>
        <v>999999</v>
      </c>
      <c r="W495" s="58" t="n">
        <f aca="false">IF(U495="",999999,YEAR(U495)*12+MONTH(U495))</f>
        <v>999999</v>
      </c>
      <c r="X495" s="58" t="n">
        <f aca="false">IF(F495=Cadastros!$E$6,3,IF(F495=Cadastros!$E$7,6,IF(F495=Cadastros!$E$8,12,1)))</f>
        <v>1</v>
      </c>
    </row>
    <row r="496" customFormat="false" ht="15" hidden="false" customHeight="false" outlineLevel="0" collapsed="false">
      <c r="A496" s="49" t="str">
        <f aca="false">IF(B496="","",ROW()-4)</f>
        <v/>
      </c>
      <c r="B496" s="50"/>
      <c r="C496" s="50"/>
      <c r="D496" s="50"/>
      <c r="E496" s="51"/>
      <c r="F496" s="51"/>
      <c r="G496" s="51"/>
      <c r="H496" s="52"/>
      <c r="I496" s="53"/>
      <c r="J496" s="54"/>
      <c r="K496" s="53"/>
      <c r="L496" s="54"/>
      <c r="M496" s="55" t="str">
        <f aca="false">IF(L496="","",L496-J496)</f>
        <v/>
      </c>
      <c r="N496" s="56" t="str">
        <f aca="true">IF(I496="","",IF(K496&lt;&gt;"","PAGO",IF(I496&lt;TODAY(),"VENCIDO",IF(I496=TODAY(),"VENCE HOJE","A VENCER"))))</f>
        <v/>
      </c>
      <c r="O496" s="57" t="str">
        <f aca="true">IF(OR(I496="",K496&lt;&gt;""),"",I496-TODAY())</f>
        <v/>
      </c>
      <c r="P496" s="51"/>
      <c r="Q496" s="51"/>
      <c r="R496" s="51"/>
      <c r="S496" s="50"/>
      <c r="T496" s="50"/>
      <c r="U496" s="52"/>
      <c r="V496" s="58" t="n">
        <f aca="false">IF(OR(B496="",I496="",F496="",F496=Cadastros!$E$4,F496=Cadastros!$E$9),999999,IF(COUNTIFS($B$5:$B$504,B496,$I$5:$I$504,"&gt;"&amp;I496)=0,YEAR(I496)*12+MONTH(I496),999999))</f>
        <v>999999</v>
      </c>
      <c r="W496" s="58" t="n">
        <f aca="false">IF(U496="",999999,YEAR(U496)*12+MONTH(U496))</f>
        <v>999999</v>
      </c>
      <c r="X496" s="58" t="n">
        <f aca="false">IF(F496=Cadastros!$E$6,3,IF(F496=Cadastros!$E$7,6,IF(F496=Cadastros!$E$8,12,1)))</f>
        <v>1</v>
      </c>
    </row>
    <row r="497" customFormat="false" ht="15" hidden="false" customHeight="false" outlineLevel="0" collapsed="false">
      <c r="A497" s="49" t="str">
        <f aca="false">IF(B497="","",ROW()-4)</f>
        <v/>
      </c>
      <c r="B497" s="50"/>
      <c r="C497" s="50"/>
      <c r="D497" s="50"/>
      <c r="E497" s="51"/>
      <c r="F497" s="51"/>
      <c r="G497" s="51"/>
      <c r="H497" s="52"/>
      <c r="I497" s="53"/>
      <c r="J497" s="54"/>
      <c r="K497" s="53"/>
      <c r="L497" s="54"/>
      <c r="M497" s="55" t="str">
        <f aca="false">IF(L497="","",L497-J497)</f>
        <v/>
      </c>
      <c r="N497" s="56" t="str">
        <f aca="true">IF(I497="","",IF(K497&lt;&gt;"","PAGO",IF(I497&lt;TODAY(),"VENCIDO",IF(I497=TODAY(),"VENCE HOJE","A VENCER"))))</f>
        <v/>
      </c>
      <c r="O497" s="57" t="str">
        <f aca="true">IF(OR(I497="",K497&lt;&gt;""),"",I497-TODAY())</f>
        <v/>
      </c>
      <c r="P497" s="51"/>
      <c r="Q497" s="51"/>
      <c r="R497" s="51"/>
      <c r="S497" s="50"/>
      <c r="T497" s="50"/>
      <c r="U497" s="52"/>
      <c r="V497" s="58" t="n">
        <f aca="false">IF(OR(B497="",I497="",F497="",F497=Cadastros!$E$4,F497=Cadastros!$E$9),999999,IF(COUNTIFS($B$5:$B$504,B497,$I$5:$I$504,"&gt;"&amp;I497)=0,YEAR(I497)*12+MONTH(I497),999999))</f>
        <v>999999</v>
      </c>
      <c r="W497" s="58" t="n">
        <f aca="false">IF(U497="",999999,YEAR(U497)*12+MONTH(U497))</f>
        <v>999999</v>
      </c>
      <c r="X497" s="58" t="n">
        <f aca="false">IF(F497=Cadastros!$E$6,3,IF(F497=Cadastros!$E$7,6,IF(F497=Cadastros!$E$8,12,1)))</f>
        <v>1</v>
      </c>
    </row>
    <row r="498" customFormat="false" ht="15" hidden="false" customHeight="false" outlineLevel="0" collapsed="false">
      <c r="A498" s="49" t="str">
        <f aca="false">IF(B498="","",ROW()-4)</f>
        <v/>
      </c>
      <c r="B498" s="50"/>
      <c r="C498" s="50"/>
      <c r="D498" s="50"/>
      <c r="E498" s="51"/>
      <c r="F498" s="51"/>
      <c r="G498" s="51"/>
      <c r="H498" s="52"/>
      <c r="I498" s="53"/>
      <c r="J498" s="54"/>
      <c r="K498" s="53"/>
      <c r="L498" s="54"/>
      <c r="M498" s="55" t="str">
        <f aca="false">IF(L498="","",L498-J498)</f>
        <v/>
      </c>
      <c r="N498" s="56" t="str">
        <f aca="true">IF(I498="","",IF(K498&lt;&gt;"","PAGO",IF(I498&lt;TODAY(),"VENCIDO",IF(I498=TODAY(),"VENCE HOJE","A VENCER"))))</f>
        <v/>
      </c>
      <c r="O498" s="57" t="str">
        <f aca="true">IF(OR(I498="",K498&lt;&gt;""),"",I498-TODAY())</f>
        <v/>
      </c>
      <c r="P498" s="51"/>
      <c r="Q498" s="51"/>
      <c r="R498" s="51"/>
      <c r="S498" s="50"/>
      <c r="T498" s="50"/>
      <c r="U498" s="52"/>
      <c r="V498" s="58" t="n">
        <f aca="false">IF(OR(B498="",I498="",F498="",F498=Cadastros!$E$4,F498=Cadastros!$E$9),999999,IF(COUNTIFS($B$5:$B$504,B498,$I$5:$I$504,"&gt;"&amp;I498)=0,YEAR(I498)*12+MONTH(I498),999999))</f>
        <v>999999</v>
      </c>
      <c r="W498" s="58" t="n">
        <f aca="false">IF(U498="",999999,YEAR(U498)*12+MONTH(U498))</f>
        <v>999999</v>
      </c>
      <c r="X498" s="58" t="n">
        <f aca="false">IF(F498=Cadastros!$E$6,3,IF(F498=Cadastros!$E$7,6,IF(F498=Cadastros!$E$8,12,1)))</f>
        <v>1</v>
      </c>
    </row>
    <row r="499" customFormat="false" ht="15" hidden="false" customHeight="false" outlineLevel="0" collapsed="false">
      <c r="A499" s="49" t="str">
        <f aca="false">IF(B499="","",ROW()-4)</f>
        <v/>
      </c>
      <c r="B499" s="50"/>
      <c r="C499" s="50"/>
      <c r="D499" s="50"/>
      <c r="E499" s="51"/>
      <c r="F499" s="51"/>
      <c r="G499" s="51"/>
      <c r="H499" s="52"/>
      <c r="I499" s="53"/>
      <c r="J499" s="54"/>
      <c r="K499" s="53"/>
      <c r="L499" s="54"/>
      <c r="M499" s="55" t="str">
        <f aca="false">IF(L499="","",L499-J499)</f>
        <v/>
      </c>
      <c r="N499" s="56" t="str">
        <f aca="true">IF(I499="","",IF(K499&lt;&gt;"","PAGO",IF(I499&lt;TODAY(),"VENCIDO",IF(I499=TODAY(),"VENCE HOJE","A VENCER"))))</f>
        <v/>
      </c>
      <c r="O499" s="57" t="str">
        <f aca="true">IF(OR(I499="",K499&lt;&gt;""),"",I499-TODAY())</f>
        <v/>
      </c>
      <c r="P499" s="51"/>
      <c r="Q499" s="51"/>
      <c r="R499" s="51"/>
      <c r="S499" s="50"/>
      <c r="T499" s="50"/>
      <c r="U499" s="52"/>
      <c r="V499" s="58" t="n">
        <f aca="false">IF(OR(B499="",I499="",F499="",F499=Cadastros!$E$4,F499=Cadastros!$E$9),999999,IF(COUNTIFS($B$5:$B$504,B499,$I$5:$I$504,"&gt;"&amp;I499)=0,YEAR(I499)*12+MONTH(I499),999999))</f>
        <v>999999</v>
      </c>
      <c r="W499" s="58" t="n">
        <f aca="false">IF(U499="",999999,YEAR(U499)*12+MONTH(U499))</f>
        <v>999999</v>
      </c>
      <c r="X499" s="58" t="n">
        <f aca="false">IF(F499=Cadastros!$E$6,3,IF(F499=Cadastros!$E$7,6,IF(F499=Cadastros!$E$8,12,1)))</f>
        <v>1</v>
      </c>
    </row>
    <row r="500" customFormat="false" ht="15" hidden="false" customHeight="false" outlineLevel="0" collapsed="false">
      <c r="A500" s="49" t="str">
        <f aca="false">IF(B500="","",ROW()-4)</f>
        <v/>
      </c>
      <c r="B500" s="50"/>
      <c r="C500" s="50"/>
      <c r="D500" s="50"/>
      <c r="E500" s="51"/>
      <c r="F500" s="51"/>
      <c r="G500" s="51"/>
      <c r="H500" s="52"/>
      <c r="I500" s="53"/>
      <c r="J500" s="54"/>
      <c r="K500" s="53"/>
      <c r="L500" s="54"/>
      <c r="M500" s="55" t="str">
        <f aca="false">IF(L500="","",L500-J500)</f>
        <v/>
      </c>
      <c r="N500" s="56" t="str">
        <f aca="true">IF(I500="","",IF(K500&lt;&gt;"","PAGO",IF(I500&lt;TODAY(),"VENCIDO",IF(I500=TODAY(),"VENCE HOJE","A VENCER"))))</f>
        <v/>
      </c>
      <c r="O500" s="57" t="str">
        <f aca="true">IF(OR(I500="",K500&lt;&gt;""),"",I500-TODAY())</f>
        <v/>
      </c>
      <c r="P500" s="51"/>
      <c r="Q500" s="51"/>
      <c r="R500" s="51"/>
      <c r="S500" s="50"/>
      <c r="T500" s="50"/>
      <c r="U500" s="52"/>
      <c r="V500" s="58" t="n">
        <f aca="false">IF(OR(B500="",I500="",F500="",F500=Cadastros!$E$4,F500=Cadastros!$E$9),999999,IF(COUNTIFS($B$5:$B$504,B500,$I$5:$I$504,"&gt;"&amp;I500)=0,YEAR(I500)*12+MONTH(I500),999999))</f>
        <v>999999</v>
      </c>
      <c r="W500" s="58" t="n">
        <f aca="false">IF(U500="",999999,YEAR(U500)*12+MONTH(U500))</f>
        <v>999999</v>
      </c>
      <c r="X500" s="58" t="n">
        <f aca="false">IF(F500=Cadastros!$E$6,3,IF(F500=Cadastros!$E$7,6,IF(F500=Cadastros!$E$8,12,1)))</f>
        <v>1</v>
      </c>
    </row>
    <row r="501" customFormat="false" ht="15" hidden="false" customHeight="false" outlineLevel="0" collapsed="false">
      <c r="A501" s="49" t="str">
        <f aca="false">IF(B501="","",ROW()-4)</f>
        <v/>
      </c>
      <c r="B501" s="50"/>
      <c r="C501" s="50"/>
      <c r="D501" s="50"/>
      <c r="E501" s="51"/>
      <c r="F501" s="51"/>
      <c r="G501" s="51"/>
      <c r="H501" s="52"/>
      <c r="I501" s="53"/>
      <c r="J501" s="54"/>
      <c r="K501" s="53"/>
      <c r="L501" s="54"/>
      <c r="M501" s="55" t="str">
        <f aca="false">IF(L501="","",L501-J501)</f>
        <v/>
      </c>
      <c r="N501" s="56" t="str">
        <f aca="true">IF(I501="","",IF(K501&lt;&gt;"","PAGO",IF(I501&lt;TODAY(),"VENCIDO",IF(I501=TODAY(),"VENCE HOJE","A VENCER"))))</f>
        <v/>
      </c>
      <c r="O501" s="57" t="str">
        <f aca="true">IF(OR(I501="",K501&lt;&gt;""),"",I501-TODAY())</f>
        <v/>
      </c>
      <c r="P501" s="51"/>
      <c r="Q501" s="51"/>
      <c r="R501" s="51"/>
      <c r="S501" s="50"/>
      <c r="T501" s="50"/>
      <c r="U501" s="52"/>
      <c r="V501" s="58" t="n">
        <f aca="false">IF(OR(B501="",I501="",F501="",F501=Cadastros!$E$4,F501=Cadastros!$E$9),999999,IF(COUNTIFS($B$5:$B$504,B501,$I$5:$I$504,"&gt;"&amp;I501)=0,YEAR(I501)*12+MONTH(I501),999999))</f>
        <v>999999</v>
      </c>
      <c r="W501" s="58" t="n">
        <f aca="false">IF(U501="",999999,YEAR(U501)*12+MONTH(U501))</f>
        <v>999999</v>
      </c>
      <c r="X501" s="58" t="n">
        <f aca="false">IF(F501=Cadastros!$E$6,3,IF(F501=Cadastros!$E$7,6,IF(F501=Cadastros!$E$8,12,1)))</f>
        <v>1</v>
      </c>
    </row>
    <row r="502" customFormat="false" ht="15" hidden="false" customHeight="false" outlineLevel="0" collapsed="false">
      <c r="A502" s="49" t="str">
        <f aca="false">IF(B502="","",ROW()-4)</f>
        <v/>
      </c>
      <c r="B502" s="50"/>
      <c r="C502" s="50"/>
      <c r="D502" s="50"/>
      <c r="E502" s="51"/>
      <c r="F502" s="51"/>
      <c r="G502" s="51"/>
      <c r="H502" s="52"/>
      <c r="I502" s="53"/>
      <c r="J502" s="54"/>
      <c r="K502" s="53"/>
      <c r="L502" s="54"/>
      <c r="M502" s="55" t="str">
        <f aca="false">IF(L502="","",L502-J502)</f>
        <v/>
      </c>
      <c r="N502" s="56" t="str">
        <f aca="true">IF(I502="","",IF(K502&lt;&gt;"","PAGO",IF(I502&lt;TODAY(),"VENCIDO",IF(I502=TODAY(),"VENCE HOJE","A VENCER"))))</f>
        <v/>
      </c>
      <c r="O502" s="57" t="str">
        <f aca="true">IF(OR(I502="",K502&lt;&gt;""),"",I502-TODAY())</f>
        <v/>
      </c>
      <c r="P502" s="51"/>
      <c r="Q502" s="51"/>
      <c r="R502" s="51"/>
      <c r="S502" s="50"/>
      <c r="T502" s="50"/>
      <c r="U502" s="52"/>
      <c r="V502" s="58" t="n">
        <f aca="false">IF(OR(B502="",I502="",F502="",F502=Cadastros!$E$4,F502=Cadastros!$E$9),999999,IF(COUNTIFS($B$5:$B$504,B502,$I$5:$I$504,"&gt;"&amp;I502)=0,YEAR(I502)*12+MONTH(I502),999999))</f>
        <v>999999</v>
      </c>
      <c r="W502" s="58" t="n">
        <f aca="false">IF(U502="",999999,YEAR(U502)*12+MONTH(U502))</f>
        <v>999999</v>
      </c>
      <c r="X502" s="58" t="n">
        <f aca="false">IF(F502=Cadastros!$E$6,3,IF(F502=Cadastros!$E$7,6,IF(F502=Cadastros!$E$8,12,1)))</f>
        <v>1</v>
      </c>
    </row>
    <row r="503" customFormat="false" ht="15" hidden="false" customHeight="false" outlineLevel="0" collapsed="false">
      <c r="A503" s="49" t="str">
        <f aca="false">IF(B503="","",ROW()-4)</f>
        <v/>
      </c>
      <c r="B503" s="50"/>
      <c r="C503" s="50"/>
      <c r="D503" s="50"/>
      <c r="E503" s="51"/>
      <c r="F503" s="51"/>
      <c r="G503" s="51"/>
      <c r="H503" s="52"/>
      <c r="I503" s="53"/>
      <c r="J503" s="54"/>
      <c r="K503" s="53"/>
      <c r="L503" s="54"/>
      <c r="M503" s="55" t="str">
        <f aca="false">IF(L503="","",L503-J503)</f>
        <v/>
      </c>
      <c r="N503" s="56" t="str">
        <f aca="true">IF(I503="","",IF(K503&lt;&gt;"","PAGO",IF(I503&lt;TODAY(),"VENCIDO",IF(I503=TODAY(),"VENCE HOJE","A VENCER"))))</f>
        <v/>
      </c>
      <c r="O503" s="57" t="str">
        <f aca="true">IF(OR(I503="",K503&lt;&gt;""),"",I503-TODAY())</f>
        <v/>
      </c>
      <c r="P503" s="51"/>
      <c r="Q503" s="51"/>
      <c r="R503" s="51"/>
      <c r="S503" s="50"/>
      <c r="T503" s="50"/>
      <c r="U503" s="52"/>
      <c r="V503" s="58" t="n">
        <f aca="false">IF(OR(B503="",I503="",F503="",F503=Cadastros!$E$4,F503=Cadastros!$E$9),999999,IF(COUNTIFS($B$5:$B$504,B503,$I$5:$I$504,"&gt;"&amp;I503)=0,YEAR(I503)*12+MONTH(I503),999999))</f>
        <v>999999</v>
      </c>
      <c r="W503" s="58" t="n">
        <f aca="false">IF(U503="",999999,YEAR(U503)*12+MONTH(U503))</f>
        <v>999999</v>
      </c>
      <c r="X503" s="58" t="n">
        <f aca="false">IF(F503=Cadastros!$E$6,3,IF(F503=Cadastros!$E$7,6,IF(F503=Cadastros!$E$8,12,1)))</f>
        <v>1</v>
      </c>
    </row>
    <row r="504" customFormat="false" ht="15" hidden="false" customHeight="false" outlineLevel="0" collapsed="false">
      <c r="A504" s="49" t="str">
        <f aca="false">IF(B504="","",ROW()-4)</f>
        <v/>
      </c>
      <c r="B504" s="50"/>
      <c r="C504" s="50"/>
      <c r="D504" s="50"/>
      <c r="E504" s="51"/>
      <c r="F504" s="51"/>
      <c r="G504" s="51"/>
      <c r="H504" s="52"/>
      <c r="I504" s="53"/>
      <c r="J504" s="54"/>
      <c r="K504" s="53"/>
      <c r="L504" s="54"/>
      <c r="M504" s="55" t="str">
        <f aca="false">IF(L504="","",L504-J504)</f>
        <v/>
      </c>
      <c r="N504" s="56" t="str">
        <f aca="true">IF(I504="","",IF(K504&lt;&gt;"","PAGO",IF(I504&lt;TODAY(),"VENCIDO",IF(I504=TODAY(),"VENCE HOJE","A VENCER"))))</f>
        <v/>
      </c>
      <c r="O504" s="57" t="str">
        <f aca="true">IF(OR(I504="",K504&lt;&gt;""),"",I504-TODAY())</f>
        <v/>
      </c>
      <c r="P504" s="51"/>
      <c r="Q504" s="51"/>
      <c r="R504" s="51"/>
      <c r="S504" s="50"/>
      <c r="T504" s="50"/>
      <c r="U504" s="52"/>
      <c r="V504" s="58" t="n">
        <f aca="false">IF(OR(B504="",I504="",F504="",F504=Cadastros!$E$4,F504=Cadastros!$E$9),999999,IF(COUNTIFS($B$5:$B$504,B504,$I$5:$I$504,"&gt;"&amp;I504)=0,YEAR(I504)*12+MONTH(I504),999999))</f>
        <v>999999</v>
      </c>
      <c r="W504" s="58" t="n">
        <f aca="false">IF(U504="",999999,YEAR(U504)*12+MONTH(U504))</f>
        <v>999999</v>
      </c>
      <c r="X504" s="58" t="n">
        <f aca="false">IF(F504=Cadastros!$E$6,3,IF(F504=Cadastros!$E$7,6,IF(F504=Cadastros!$E$8,12,1)))</f>
        <v>1</v>
      </c>
    </row>
  </sheetData>
  <autoFilter ref="A4:U504"/>
  <mergeCells count="2">
    <mergeCell ref="A1:T1"/>
    <mergeCell ref="A2:T2"/>
  </mergeCells>
  <conditionalFormatting sqref="N5:N504">
    <cfRule type="expression" priority="2" aboveAverage="0" equalAverage="0" bottom="0" percent="0" rank="0" text="" dxfId="8">
      <formula>$N5="PAGO"</formula>
    </cfRule>
    <cfRule type="expression" priority="3" aboveAverage="0" equalAverage="0" bottom="0" percent="0" rank="0" text="" dxfId="9">
      <formula>$N5="VENCIDO"</formula>
    </cfRule>
    <cfRule type="expression" priority="4" aboveAverage="0" equalAverage="0" bottom="0" percent="0" rank="0" text="" dxfId="10">
      <formula>$N5="VENCE HOJE"</formula>
    </cfRule>
    <cfRule type="expression" priority="5" aboveAverage="0" equalAverage="0" bottom="0" percent="0" rank="0" text="" dxfId="11">
      <formula>$N5="A VENCER"</formula>
    </cfRule>
  </conditionalFormatting>
  <dataValidations count="8">
    <dataValidation allowBlank="true" error="Escolha um item da lista (edite as opções na aba Cadastros)." errorStyle="stop" errorTitle="Valor inválido" operator="between" showDropDown="false" showErrorMessage="true" showInputMessage="false" sqref="D5:D504" type="list">
      <formula1>Cadastros!$A$4:$A$18</formula1>
      <formula2>0</formula2>
    </dataValidation>
    <dataValidation allowBlank="true" error="Escolha um item da lista (edite as opções na aba Cadastros)." errorStyle="stop" errorTitle="Valor inválido" operator="between" showDropDown="false" showErrorMessage="true" showInputMessage="false" sqref="E5:E504" type="list">
      <formula1>Cadastros!$C$4:$C$5</formula1>
      <formula2>0</formula2>
    </dataValidation>
    <dataValidation allowBlank="true" error="Escolha um item da lista (edite as opções na aba Cadastros)." errorStyle="stop" errorTitle="Valor inválido" operator="between" showDropDown="false" showErrorMessage="true" showInputMessage="false" sqref="F5:F504" type="list">
      <formula1>Cadastros!$E$4:$E$9</formula1>
      <formula2>0</formula2>
    </dataValidation>
    <dataValidation allowBlank="true" error="Escolha um item da lista (edite as opções na aba Cadastros)." errorStyle="stop" errorTitle="Valor inválido" operator="between" showDropDown="false" showErrorMessage="true" showInputMessage="false" sqref="P5:P504" type="list">
      <formula1>Cadastros!$G$4:$G$11</formula1>
      <formula2>0</formula2>
    </dataValidation>
    <dataValidation allowBlank="true" error="Escolha um item da lista (edite as opções na aba Cadastros)." errorStyle="stop" errorTitle="Valor inválido" operator="between" showDropDown="false" showErrorMessage="true" showInputMessage="false" sqref="Q5:Q504" type="list">
      <formula1>Cadastros!$I$4:$I$9</formula1>
      <formula2>0</formula2>
    </dataValidation>
    <dataValidation allowBlank="true" error="Digite uma data válida (dd/mm/aaaa)." errorStyle="stop" errorTitle="Valor inválido" operator="greaterThan" showDropDown="false" showErrorMessage="true" showInputMessage="false" sqref="H5:I504 K5:K504" type="date">
      <formula1>36526</formula1>
      <formula2>0</formula2>
    </dataValidation>
    <dataValidation allowBlank="true" error="Digite um valor numérico positivo." errorStyle="stop" errorTitle="Valor inválido" operator="greaterThanOrEqual" showDropDown="false" showErrorMessage="true" showInputMessage="false" sqref="J5:J504 L5:L504" type="decimal">
      <formula1>0</formula1>
      <formula2>0</formula2>
    </dataValidation>
    <dataValidation allowBlank="true" error="Digite uma data (ex.: 01/12/2027)." errorStyle="stop" errorTitle="Valor inválido" operator="greaterThan" showDropDown="false" showErrorMessage="true" showInputMessage="false" sqref="U5:U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3A"/>
    <pageSetUpPr fitToPage="false"/>
  </sheetPr>
  <dimension ref="B2:AA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27" min="4" style="0" width="16"/>
  </cols>
  <sheetData>
    <row r="2" customFormat="false" ht="33.75" hidden="false" customHeight="true" outlineLevel="0" collapsed="false">
      <c r="B2" s="1" t="s">
        <v>70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71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72</v>
      </c>
      <c r="C5" s="4" t="n">
        <v>2026</v>
      </c>
      <c r="D5" s="3" t="s">
        <v>3</v>
      </c>
      <c r="E5" s="4" t="n">
        <v>10</v>
      </c>
      <c r="F5" s="6" t="s">
        <v>73</v>
      </c>
    </row>
    <row r="6" customFormat="false" ht="15" hidden="false" customHeight="false" outlineLevel="0" collapsed="false">
      <c r="B6" s="3" t="s">
        <v>74</v>
      </c>
      <c r="C6" s="59" t="n">
        <v>46296</v>
      </c>
      <c r="D6" s="3" t="s">
        <v>75</v>
      </c>
      <c r="E6" s="59" t="n">
        <v>46447</v>
      </c>
      <c r="F6" s="6" t="s">
        <v>76</v>
      </c>
    </row>
    <row r="8" customFormat="false" ht="25.5" hidden="false" customHeight="true" outlineLevel="0" collapsed="false">
      <c r="B8" s="22" t="s">
        <v>25</v>
      </c>
      <c r="C8" s="23" t="s">
        <v>77</v>
      </c>
      <c r="D8" s="23" t="s">
        <v>78</v>
      </c>
      <c r="E8" s="23" t="s">
        <v>79</v>
      </c>
      <c r="F8" s="23" t="s">
        <v>80</v>
      </c>
      <c r="G8" s="23" t="s">
        <v>81</v>
      </c>
    </row>
    <row r="9" customFormat="false" ht="31.5" hidden="false" customHeight="true" outlineLevel="0" collapsed="false">
      <c r="C9" s="60" t="n">
        <f aca="false">SUMIFS($E$13:$E$36,$B$13:$B$36,"&gt;="&amp;DATE(YEAR($C$6),MONTH($C$6),1),$B$13:$B$36,"&lt;="&amp;$E$6)</f>
        <v>25914</v>
      </c>
      <c r="D9" s="60" t="n">
        <f aca="false">IF(COUNTIFS($B$13:$B$36,"&gt;="&amp;DATE(YEAR($C$6),MONTH($C$6),1),$B$13:$B$36,"&lt;="&amp;$E$6)=0,0,C9/COUNTIFS($B$13:$B$36,"&gt;="&amp;DATE(YEAR($C$6),MONTH($C$6),1),$B$13:$B$36,"&lt;="&amp;$E$6))</f>
        <v>4319</v>
      </c>
      <c r="E9" s="60" t="n">
        <f aca="false">SUMPRODUCT(MAX(($B$13:$B$36&gt;=DATE(YEAR($C$6),MONTH($C$6),1))*($B$13:$B$36&lt;=$E$6)*$E$13:$E$36))</f>
        <v>4319</v>
      </c>
      <c r="F9" s="60" t="n">
        <f aca="false">SUM(E13:E24)</f>
        <v>51828</v>
      </c>
      <c r="G9" s="60" t="n">
        <f aca="false">SUM(E13:E36)</f>
        <v>103656</v>
      </c>
    </row>
    <row r="11" customFormat="false" ht="15" hidden="false" customHeight="false" outlineLevel="0" collapsed="false">
      <c r="B11" s="22" t="s">
        <v>82</v>
      </c>
    </row>
    <row r="12" customFormat="false" ht="30" hidden="false" customHeight="true" outlineLevel="0" collapsed="false">
      <c r="B12" s="7" t="s">
        <v>36</v>
      </c>
      <c r="C12" s="7" t="s">
        <v>83</v>
      </c>
      <c r="D12" s="7" t="s">
        <v>84</v>
      </c>
      <c r="E12" s="7" t="s">
        <v>85</v>
      </c>
      <c r="F12" s="7" t="s">
        <v>86</v>
      </c>
      <c r="G12" s="7" t="s">
        <v>87</v>
      </c>
    </row>
    <row r="13" customFormat="false" ht="15" hidden="false" customHeight="false" outlineLevel="0" collapsed="false">
      <c r="B13" s="61" t="n">
        <f aca="false">DATE($C$5,$E$5+0,1)</f>
        <v>46296</v>
      </c>
      <c r="C13" s="62" t="n">
        <f aca="false">SUMIFS(Lançamentos!$J$5:$J$504,Lançamentos!$I$5:$I$504,"&gt;="&amp;$B13,Lançamentos!$I$5:$I$504,"&lt;"&amp;DATE(YEAR($B13),MONTH($B13)+1,1))</f>
        <v>4319</v>
      </c>
      <c r="D13" s="62" t="n">
        <f aca="false">SUMPRODUCT((Lançamentos!$V$5:$V$504&lt;(YEAR($B13)*12+MONTH($B13)))*(Lançamentos!$W$5:$W$504&gt;=(YEAR($B13)*12+MONTH($B13)))*(MOD((YEAR($B13)*12+MONTH($B13))-Lançamentos!$V$5:$V$504,Lançamentos!$X$5:$X$504)=0)*Lançamentos!$J$5:$J$504)</f>
        <v>0</v>
      </c>
      <c r="E13" s="63" t="n">
        <f aca="false">C13+D13</f>
        <v>4319</v>
      </c>
      <c r="F13" s="62" t="n">
        <f aca="false">SUM(E$13:E13)</f>
        <v>4319</v>
      </c>
      <c r="G13" s="64" t="str">
        <f aca="false">IF(AND(B13&gt;=DATE(YEAR($C$6),MONTH($C$6),1),B13&lt;=$E$6),"●","")</f>
        <v>●</v>
      </c>
    </row>
    <row r="14" customFormat="false" ht="15" hidden="false" customHeight="false" outlineLevel="0" collapsed="false">
      <c r="B14" s="65" t="n">
        <f aca="false">DATE($C$5,$E$5+1,1)</f>
        <v>46327</v>
      </c>
      <c r="C14" s="66" t="n">
        <f aca="false">SUMIFS(Lançamentos!$J$5:$J$504,Lançamentos!$I$5:$I$504,"&gt;="&amp;$B14,Lançamentos!$I$5:$I$504,"&lt;"&amp;DATE(YEAR($B14),MONTH($B14)+1,1))</f>
        <v>0</v>
      </c>
      <c r="D14" s="66" t="n">
        <f aca="false">SUMPRODUCT((Lançamentos!$V$5:$V$504&lt;(YEAR($B14)*12+MONTH($B14)))*(Lançamentos!$W$5:$W$504&gt;=(YEAR($B14)*12+MONTH($B14)))*(MOD((YEAR($B14)*12+MONTH($B14))-Lançamentos!$V$5:$V$504,Lançamentos!$X$5:$X$504)=0)*Lançamentos!$J$5:$J$504)</f>
        <v>4319</v>
      </c>
      <c r="E14" s="67" t="n">
        <f aca="false">C14+D14</f>
        <v>4319</v>
      </c>
      <c r="F14" s="66" t="n">
        <f aca="false">SUM(E$13:E14)</f>
        <v>8638</v>
      </c>
      <c r="G14" s="68" t="str">
        <f aca="false">IF(AND(B14&gt;=DATE(YEAR($C$6),MONTH($C$6),1),B14&lt;=$E$6),"●","")</f>
        <v>●</v>
      </c>
    </row>
    <row r="15" customFormat="false" ht="15" hidden="false" customHeight="false" outlineLevel="0" collapsed="false">
      <c r="B15" s="61" t="n">
        <f aca="false">DATE($C$5,$E$5+2,1)</f>
        <v>46357</v>
      </c>
      <c r="C15" s="62" t="n">
        <f aca="false">SUMIFS(Lançamentos!$J$5:$J$504,Lançamentos!$I$5:$I$504,"&gt;="&amp;$B15,Lançamentos!$I$5:$I$504,"&lt;"&amp;DATE(YEAR($B15),MONTH($B15)+1,1))</f>
        <v>0</v>
      </c>
      <c r="D15" s="62" t="n">
        <f aca="false">SUMPRODUCT((Lançamentos!$V$5:$V$504&lt;(YEAR($B15)*12+MONTH($B15)))*(Lançamentos!$W$5:$W$504&gt;=(YEAR($B15)*12+MONTH($B15)))*(MOD((YEAR($B15)*12+MONTH($B15))-Lançamentos!$V$5:$V$504,Lançamentos!$X$5:$X$504)=0)*Lançamentos!$J$5:$J$504)</f>
        <v>4319</v>
      </c>
      <c r="E15" s="63" t="n">
        <f aca="false">C15+D15</f>
        <v>4319</v>
      </c>
      <c r="F15" s="62" t="n">
        <f aca="false">SUM(E$13:E15)</f>
        <v>12957</v>
      </c>
      <c r="G15" s="64" t="str">
        <f aca="false">IF(AND(B15&gt;=DATE(YEAR($C$6),MONTH($C$6),1),B15&lt;=$E$6),"●","")</f>
        <v>●</v>
      </c>
    </row>
    <row r="16" customFormat="false" ht="15" hidden="false" customHeight="false" outlineLevel="0" collapsed="false">
      <c r="B16" s="65" t="n">
        <f aca="false">DATE($C$5,$E$5+3,1)</f>
        <v>46388</v>
      </c>
      <c r="C16" s="66" t="n">
        <f aca="false">SUMIFS(Lançamentos!$J$5:$J$504,Lançamentos!$I$5:$I$504,"&gt;="&amp;$B16,Lançamentos!$I$5:$I$504,"&lt;"&amp;DATE(YEAR($B16),MONTH($B16)+1,1))</f>
        <v>0</v>
      </c>
      <c r="D16" s="66" t="n">
        <f aca="false">SUMPRODUCT((Lançamentos!$V$5:$V$504&lt;(YEAR($B16)*12+MONTH($B16)))*(Lançamentos!$W$5:$W$504&gt;=(YEAR($B16)*12+MONTH($B16)))*(MOD((YEAR($B16)*12+MONTH($B16))-Lançamentos!$V$5:$V$504,Lançamentos!$X$5:$X$504)=0)*Lançamentos!$J$5:$J$504)</f>
        <v>4319</v>
      </c>
      <c r="E16" s="67" t="n">
        <f aca="false">C16+D16</f>
        <v>4319</v>
      </c>
      <c r="F16" s="66" t="n">
        <f aca="false">SUM(E$13:E16)</f>
        <v>17276</v>
      </c>
      <c r="G16" s="68" t="str">
        <f aca="false">IF(AND(B16&gt;=DATE(YEAR($C$6),MONTH($C$6),1),B16&lt;=$E$6),"●","")</f>
        <v>●</v>
      </c>
    </row>
    <row r="17" customFormat="false" ht="15" hidden="false" customHeight="false" outlineLevel="0" collapsed="false">
      <c r="B17" s="61" t="n">
        <f aca="false">DATE($C$5,$E$5+4,1)</f>
        <v>46419</v>
      </c>
      <c r="C17" s="62" t="n">
        <f aca="false">SUMIFS(Lançamentos!$J$5:$J$504,Lançamentos!$I$5:$I$504,"&gt;="&amp;$B17,Lançamentos!$I$5:$I$504,"&lt;"&amp;DATE(YEAR($B17),MONTH($B17)+1,1))</f>
        <v>0</v>
      </c>
      <c r="D17" s="62" t="n">
        <f aca="false">SUMPRODUCT((Lançamentos!$V$5:$V$504&lt;(YEAR($B17)*12+MONTH($B17)))*(Lançamentos!$W$5:$W$504&gt;=(YEAR($B17)*12+MONTH($B17)))*(MOD((YEAR($B17)*12+MONTH($B17))-Lançamentos!$V$5:$V$504,Lançamentos!$X$5:$X$504)=0)*Lançamentos!$J$5:$J$504)</f>
        <v>4319</v>
      </c>
      <c r="E17" s="63" t="n">
        <f aca="false">C17+D17</f>
        <v>4319</v>
      </c>
      <c r="F17" s="62" t="n">
        <f aca="false">SUM(E$13:E17)</f>
        <v>21595</v>
      </c>
      <c r="G17" s="64" t="str">
        <f aca="false">IF(AND(B17&gt;=DATE(YEAR($C$6),MONTH($C$6),1),B17&lt;=$E$6),"●","")</f>
        <v>●</v>
      </c>
    </row>
    <row r="18" customFormat="false" ht="15" hidden="false" customHeight="false" outlineLevel="0" collapsed="false">
      <c r="B18" s="65" t="n">
        <f aca="false">DATE($C$5,$E$5+5,1)</f>
        <v>46447</v>
      </c>
      <c r="C18" s="66" t="n">
        <f aca="false">SUMIFS(Lançamentos!$J$5:$J$504,Lançamentos!$I$5:$I$504,"&gt;="&amp;$B18,Lançamentos!$I$5:$I$504,"&lt;"&amp;DATE(YEAR($B18),MONTH($B18)+1,1))</f>
        <v>0</v>
      </c>
      <c r="D18" s="66" t="n">
        <f aca="false">SUMPRODUCT((Lançamentos!$V$5:$V$504&lt;(YEAR($B18)*12+MONTH($B18)))*(Lançamentos!$W$5:$W$504&gt;=(YEAR($B18)*12+MONTH($B18)))*(MOD((YEAR($B18)*12+MONTH($B18))-Lançamentos!$V$5:$V$504,Lançamentos!$X$5:$X$504)=0)*Lançamentos!$J$5:$J$504)</f>
        <v>4319</v>
      </c>
      <c r="E18" s="67" t="n">
        <f aca="false">C18+D18</f>
        <v>4319</v>
      </c>
      <c r="F18" s="66" t="n">
        <f aca="false">SUM(E$13:E18)</f>
        <v>25914</v>
      </c>
      <c r="G18" s="68" t="str">
        <f aca="false">IF(AND(B18&gt;=DATE(YEAR($C$6),MONTH($C$6),1),B18&lt;=$E$6),"●","")</f>
        <v>●</v>
      </c>
    </row>
    <row r="19" customFormat="false" ht="15" hidden="false" customHeight="false" outlineLevel="0" collapsed="false">
      <c r="B19" s="61" t="n">
        <f aca="false">DATE($C$5,$E$5+6,1)</f>
        <v>46478</v>
      </c>
      <c r="C19" s="62" t="n">
        <f aca="false">SUMIFS(Lançamentos!$J$5:$J$504,Lançamentos!$I$5:$I$504,"&gt;="&amp;$B19,Lançamentos!$I$5:$I$504,"&lt;"&amp;DATE(YEAR($B19),MONTH($B19)+1,1))</f>
        <v>0</v>
      </c>
      <c r="D19" s="62" t="n">
        <f aca="false">SUMPRODUCT((Lançamentos!$V$5:$V$504&lt;(YEAR($B19)*12+MONTH($B19)))*(Lançamentos!$W$5:$W$504&gt;=(YEAR($B19)*12+MONTH($B19)))*(MOD((YEAR($B19)*12+MONTH($B19))-Lançamentos!$V$5:$V$504,Lançamentos!$X$5:$X$504)=0)*Lançamentos!$J$5:$J$504)</f>
        <v>4319</v>
      </c>
      <c r="E19" s="63" t="n">
        <f aca="false">C19+D19</f>
        <v>4319</v>
      </c>
      <c r="F19" s="62" t="n">
        <f aca="false">SUM(E$13:E19)</f>
        <v>30233</v>
      </c>
      <c r="G19" s="64" t="str">
        <f aca="false">IF(AND(B19&gt;=DATE(YEAR($C$6),MONTH($C$6),1),B19&lt;=$E$6),"●","")</f>
        <v/>
      </c>
    </row>
    <row r="20" customFormat="false" ht="15" hidden="false" customHeight="false" outlineLevel="0" collapsed="false">
      <c r="B20" s="65" t="n">
        <f aca="false">DATE($C$5,$E$5+7,1)</f>
        <v>46508</v>
      </c>
      <c r="C20" s="66" t="n">
        <f aca="false">SUMIFS(Lançamentos!$J$5:$J$504,Lançamentos!$I$5:$I$504,"&gt;="&amp;$B20,Lançamentos!$I$5:$I$504,"&lt;"&amp;DATE(YEAR($B20),MONTH($B20)+1,1))</f>
        <v>0</v>
      </c>
      <c r="D20" s="66" t="n">
        <f aca="false">SUMPRODUCT((Lançamentos!$V$5:$V$504&lt;(YEAR($B20)*12+MONTH($B20)))*(Lançamentos!$W$5:$W$504&gt;=(YEAR($B20)*12+MONTH($B20)))*(MOD((YEAR($B20)*12+MONTH($B20))-Lançamentos!$V$5:$V$504,Lançamentos!$X$5:$X$504)=0)*Lançamentos!$J$5:$J$504)</f>
        <v>4319</v>
      </c>
      <c r="E20" s="67" t="n">
        <f aca="false">C20+D20</f>
        <v>4319</v>
      </c>
      <c r="F20" s="66" t="n">
        <f aca="false">SUM(E$13:E20)</f>
        <v>34552</v>
      </c>
      <c r="G20" s="68" t="str">
        <f aca="false">IF(AND(B20&gt;=DATE(YEAR($C$6),MONTH($C$6),1),B20&lt;=$E$6),"●","")</f>
        <v/>
      </c>
    </row>
    <row r="21" customFormat="false" ht="15" hidden="false" customHeight="false" outlineLevel="0" collapsed="false">
      <c r="B21" s="61" t="n">
        <f aca="false">DATE($C$5,$E$5+8,1)</f>
        <v>46539</v>
      </c>
      <c r="C21" s="62" t="n">
        <f aca="false">SUMIFS(Lançamentos!$J$5:$J$504,Lançamentos!$I$5:$I$504,"&gt;="&amp;$B21,Lançamentos!$I$5:$I$504,"&lt;"&amp;DATE(YEAR($B21),MONTH($B21)+1,1))</f>
        <v>0</v>
      </c>
      <c r="D21" s="62" t="n">
        <f aca="false">SUMPRODUCT((Lançamentos!$V$5:$V$504&lt;(YEAR($B21)*12+MONTH($B21)))*(Lançamentos!$W$5:$W$504&gt;=(YEAR($B21)*12+MONTH($B21)))*(MOD((YEAR($B21)*12+MONTH($B21))-Lançamentos!$V$5:$V$504,Lançamentos!$X$5:$X$504)=0)*Lançamentos!$J$5:$J$504)</f>
        <v>4319</v>
      </c>
      <c r="E21" s="63" t="n">
        <f aca="false">C21+D21</f>
        <v>4319</v>
      </c>
      <c r="F21" s="62" t="n">
        <f aca="false">SUM(E$13:E21)</f>
        <v>38871</v>
      </c>
      <c r="G21" s="64" t="str">
        <f aca="false">IF(AND(B21&gt;=DATE(YEAR($C$6),MONTH($C$6),1),B21&lt;=$E$6),"●","")</f>
        <v/>
      </c>
    </row>
    <row r="22" customFormat="false" ht="15" hidden="false" customHeight="false" outlineLevel="0" collapsed="false">
      <c r="B22" s="65" t="n">
        <f aca="false">DATE($C$5,$E$5+9,1)</f>
        <v>46569</v>
      </c>
      <c r="C22" s="66" t="n">
        <f aca="false">SUMIFS(Lançamentos!$J$5:$J$504,Lançamentos!$I$5:$I$504,"&gt;="&amp;$B22,Lançamentos!$I$5:$I$504,"&lt;"&amp;DATE(YEAR($B22),MONTH($B22)+1,1))</f>
        <v>0</v>
      </c>
      <c r="D22" s="66" t="n">
        <f aca="false">SUMPRODUCT((Lançamentos!$V$5:$V$504&lt;(YEAR($B22)*12+MONTH($B22)))*(Lançamentos!$W$5:$W$504&gt;=(YEAR($B22)*12+MONTH($B22)))*(MOD((YEAR($B22)*12+MONTH($B22))-Lançamentos!$V$5:$V$504,Lançamentos!$X$5:$X$504)=0)*Lançamentos!$J$5:$J$504)</f>
        <v>4319</v>
      </c>
      <c r="E22" s="67" t="n">
        <f aca="false">C22+D22</f>
        <v>4319</v>
      </c>
      <c r="F22" s="66" t="n">
        <f aca="false">SUM(E$13:E22)</f>
        <v>43190</v>
      </c>
      <c r="G22" s="68" t="str">
        <f aca="false">IF(AND(B22&gt;=DATE(YEAR($C$6),MONTH($C$6),1),B22&lt;=$E$6),"●","")</f>
        <v/>
      </c>
    </row>
    <row r="23" customFormat="false" ht="15" hidden="false" customHeight="false" outlineLevel="0" collapsed="false">
      <c r="B23" s="61" t="n">
        <f aca="false">DATE($C$5,$E$5+10,1)</f>
        <v>46600</v>
      </c>
      <c r="C23" s="62" t="n">
        <f aca="false">SUMIFS(Lançamentos!$J$5:$J$504,Lançamentos!$I$5:$I$504,"&gt;="&amp;$B23,Lançamentos!$I$5:$I$504,"&lt;"&amp;DATE(YEAR($B23),MONTH($B23)+1,1))</f>
        <v>0</v>
      </c>
      <c r="D23" s="62" t="n">
        <f aca="false">SUMPRODUCT((Lançamentos!$V$5:$V$504&lt;(YEAR($B23)*12+MONTH($B23)))*(Lançamentos!$W$5:$W$504&gt;=(YEAR($B23)*12+MONTH($B23)))*(MOD((YEAR($B23)*12+MONTH($B23))-Lançamentos!$V$5:$V$504,Lançamentos!$X$5:$X$504)=0)*Lançamentos!$J$5:$J$504)</f>
        <v>4319</v>
      </c>
      <c r="E23" s="63" t="n">
        <f aca="false">C23+D23</f>
        <v>4319</v>
      </c>
      <c r="F23" s="62" t="n">
        <f aca="false">SUM(E$13:E23)</f>
        <v>47509</v>
      </c>
      <c r="G23" s="64" t="str">
        <f aca="false">IF(AND(B23&gt;=DATE(YEAR($C$6),MONTH($C$6),1),B23&lt;=$E$6),"●","")</f>
        <v/>
      </c>
    </row>
    <row r="24" customFormat="false" ht="15" hidden="false" customHeight="false" outlineLevel="0" collapsed="false">
      <c r="B24" s="65" t="n">
        <f aca="false">DATE($C$5,$E$5+11,1)</f>
        <v>46631</v>
      </c>
      <c r="C24" s="66" t="n">
        <f aca="false">SUMIFS(Lançamentos!$J$5:$J$504,Lançamentos!$I$5:$I$504,"&gt;="&amp;$B24,Lançamentos!$I$5:$I$504,"&lt;"&amp;DATE(YEAR($B24),MONTH($B24)+1,1))</f>
        <v>0</v>
      </c>
      <c r="D24" s="66" t="n">
        <f aca="false">SUMPRODUCT((Lançamentos!$V$5:$V$504&lt;(YEAR($B24)*12+MONTH($B24)))*(Lançamentos!$W$5:$W$504&gt;=(YEAR($B24)*12+MONTH($B24)))*(MOD((YEAR($B24)*12+MONTH($B24))-Lançamentos!$V$5:$V$504,Lançamentos!$X$5:$X$504)=0)*Lançamentos!$J$5:$J$504)</f>
        <v>4319</v>
      </c>
      <c r="E24" s="67" t="n">
        <f aca="false">C24+D24</f>
        <v>4319</v>
      </c>
      <c r="F24" s="66" t="n">
        <f aca="false">SUM(E$13:E24)</f>
        <v>51828</v>
      </c>
      <c r="G24" s="68" t="str">
        <f aca="false">IF(AND(B24&gt;=DATE(YEAR($C$6),MONTH($C$6),1),B24&lt;=$E$6),"●","")</f>
        <v/>
      </c>
    </row>
    <row r="25" customFormat="false" ht="15" hidden="false" customHeight="false" outlineLevel="0" collapsed="false">
      <c r="B25" s="61" t="n">
        <f aca="false">DATE($C$5,$E$5+12,1)</f>
        <v>46661</v>
      </c>
      <c r="C25" s="62" t="n">
        <f aca="false">SUMIFS(Lançamentos!$J$5:$J$504,Lançamentos!$I$5:$I$504,"&gt;="&amp;$B25,Lançamentos!$I$5:$I$504,"&lt;"&amp;DATE(YEAR($B25),MONTH($B25)+1,1))</f>
        <v>0</v>
      </c>
      <c r="D25" s="62" t="n">
        <f aca="false">SUMPRODUCT((Lançamentos!$V$5:$V$504&lt;(YEAR($B25)*12+MONTH($B25)))*(Lançamentos!$W$5:$W$504&gt;=(YEAR($B25)*12+MONTH($B25)))*(MOD((YEAR($B25)*12+MONTH($B25))-Lançamentos!$V$5:$V$504,Lançamentos!$X$5:$X$504)=0)*Lançamentos!$J$5:$J$504)</f>
        <v>4319</v>
      </c>
      <c r="E25" s="63" t="n">
        <f aca="false">C25+D25</f>
        <v>4319</v>
      </c>
      <c r="F25" s="62" t="n">
        <f aca="false">SUM(E$13:E25)</f>
        <v>56147</v>
      </c>
      <c r="G25" s="64" t="str">
        <f aca="false">IF(AND(B25&gt;=DATE(YEAR($C$6),MONTH($C$6),1),B25&lt;=$E$6),"●","")</f>
        <v/>
      </c>
    </row>
    <row r="26" customFormat="false" ht="15" hidden="false" customHeight="false" outlineLevel="0" collapsed="false">
      <c r="B26" s="65" t="n">
        <f aca="false">DATE($C$5,$E$5+13,1)</f>
        <v>46692</v>
      </c>
      <c r="C26" s="66" t="n">
        <f aca="false">SUMIFS(Lançamentos!$J$5:$J$504,Lançamentos!$I$5:$I$504,"&gt;="&amp;$B26,Lançamentos!$I$5:$I$504,"&lt;"&amp;DATE(YEAR($B26),MONTH($B26)+1,1))</f>
        <v>0</v>
      </c>
      <c r="D26" s="66" t="n">
        <f aca="false">SUMPRODUCT((Lançamentos!$V$5:$V$504&lt;(YEAR($B26)*12+MONTH($B26)))*(Lançamentos!$W$5:$W$504&gt;=(YEAR($B26)*12+MONTH($B26)))*(MOD((YEAR($B26)*12+MONTH($B26))-Lançamentos!$V$5:$V$504,Lançamentos!$X$5:$X$504)=0)*Lançamentos!$J$5:$J$504)</f>
        <v>4319</v>
      </c>
      <c r="E26" s="67" t="n">
        <f aca="false">C26+D26</f>
        <v>4319</v>
      </c>
      <c r="F26" s="66" t="n">
        <f aca="false">SUM(E$13:E26)</f>
        <v>60466</v>
      </c>
      <c r="G26" s="68" t="str">
        <f aca="false">IF(AND(B26&gt;=DATE(YEAR($C$6),MONTH($C$6),1),B26&lt;=$E$6),"●","")</f>
        <v/>
      </c>
    </row>
    <row r="27" customFormat="false" ht="15" hidden="false" customHeight="false" outlineLevel="0" collapsed="false">
      <c r="B27" s="61" t="n">
        <f aca="false">DATE($C$5,$E$5+14,1)</f>
        <v>46722</v>
      </c>
      <c r="C27" s="62" t="n">
        <f aca="false">SUMIFS(Lançamentos!$J$5:$J$504,Lançamentos!$I$5:$I$504,"&gt;="&amp;$B27,Lançamentos!$I$5:$I$504,"&lt;"&amp;DATE(YEAR($B27),MONTH($B27)+1,1))</f>
        <v>0</v>
      </c>
      <c r="D27" s="62" t="n">
        <f aca="false">SUMPRODUCT((Lançamentos!$V$5:$V$504&lt;(YEAR($B27)*12+MONTH($B27)))*(Lançamentos!$W$5:$W$504&gt;=(YEAR($B27)*12+MONTH($B27)))*(MOD((YEAR($B27)*12+MONTH($B27))-Lançamentos!$V$5:$V$504,Lançamentos!$X$5:$X$504)=0)*Lançamentos!$J$5:$J$504)</f>
        <v>4319</v>
      </c>
      <c r="E27" s="63" t="n">
        <f aca="false">C27+D27</f>
        <v>4319</v>
      </c>
      <c r="F27" s="62" t="n">
        <f aca="false">SUM(E$13:E27)</f>
        <v>64785</v>
      </c>
      <c r="G27" s="64" t="str">
        <f aca="false">IF(AND(B27&gt;=DATE(YEAR($C$6),MONTH($C$6),1),B27&lt;=$E$6),"●","")</f>
        <v/>
      </c>
    </row>
    <row r="28" customFormat="false" ht="15" hidden="false" customHeight="false" outlineLevel="0" collapsed="false">
      <c r="B28" s="65" t="n">
        <f aca="false">DATE($C$5,$E$5+15,1)</f>
        <v>46753</v>
      </c>
      <c r="C28" s="66" t="n">
        <f aca="false">SUMIFS(Lançamentos!$J$5:$J$504,Lançamentos!$I$5:$I$504,"&gt;="&amp;$B28,Lançamentos!$I$5:$I$504,"&lt;"&amp;DATE(YEAR($B28),MONTH($B28)+1,1))</f>
        <v>0</v>
      </c>
      <c r="D28" s="66" t="n">
        <f aca="false">SUMPRODUCT((Lançamentos!$V$5:$V$504&lt;(YEAR($B28)*12+MONTH($B28)))*(Lançamentos!$W$5:$W$504&gt;=(YEAR($B28)*12+MONTH($B28)))*(MOD((YEAR($B28)*12+MONTH($B28))-Lançamentos!$V$5:$V$504,Lançamentos!$X$5:$X$504)=0)*Lançamentos!$J$5:$J$504)</f>
        <v>4319</v>
      </c>
      <c r="E28" s="67" t="n">
        <f aca="false">C28+D28</f>
        <v>4319</v>
      </c>
      <c r="F28" s="66" t="n">
        <f aca="false">SUM(E$13:E28)</f>
        <v>69104</v>
      </c>
      <c r="G28" s="68" t="str">
        <f aca="false">IF(AND(B28&gt;=DATE(YEAR($C$6),MONTH($C$6),1),B28&lt;=$E$6),"●","")</f>
        <v/>
      </c>
    </row>
    <row r="29" customFormat="false" ht="15" hidden="false" customHeight="false" outlineLevel="0" collapsed="false">
      <c r="B29" s="61" t="n">
        <f aca="false">DATE($C$5,$E$5+16,1)</f>
        <v>46784</v>
      </c>
      <c r="C29" s="62" t="n">
        <f aca="false">SUMIFS(Lançamentos!$J$5:$J$504,Lançamentos!$I$5:$I$504,"&gt;="&amp;$B29,Lançamentos!$I$5:$I$504,"&lt;"&amp;DATE(YEAR($B29),MONTH($B29)+1,1))</f>
        <v>0</v>
      </c>
      <c r="D29" s="62" t="n">
        <f aca="false">SUMPRODUCT((Lançamentos!$V$5:$V$504&lt;(YEAR($B29)*12+MONTH($B29)))*(Lançamentos!$W$5:$W$504&gt;=(YEAR($B29)*12+MONTH($B29)))*(MOD((YEAR($B29)*12+MONTH($B29))-Lançamentos!$V$5:$V$504,Lançamentos!$X$5:$X$504)=0)*Lançamentos!$J$5:$J$504)</f>
        <v>4319</v>
      </c>
      <c r="E29" s="63" t="n">
        <f aca="false">C29+D29</f>
        <v>4319</v>
      </c>
      <c r="F29" s="62" t="n">
        <f aca="false">SUM(E$13:E29)</f>
        <v>73423</v>
      </c>
      <c r="G29" s="64" t="str">
        <f aca="false">IF(AND(B29&gt;=DATE(YEAR($C$6),MONTH($C$6),1),B29&lt;=$E$6),"●","")</f>
        <v/>
      </c>
    </row>
    <row r="30" customFormat="false" ht="15" hidden="false" customHeight="false" outlineLevel="0" collapsed="false">
      <c r="B30" s="65" t="n">
        <f aca="false">DATE($C$5,$E$5+17,1)</f>
        <v>46813</v>
      </c>
      <c r="C30" s="66" t="n">
        <f aca="false">SUMIFS(Lançamentos!$J$5:$J$504,Lançamentos!$I$5:$I$504,"&gt;="&amp;$B30,Lançamentos!$I$5:$I$504,"&lt;"&amp;DATE(YEAR($B30),MONTH($B30)+1,1))</f>
        <v>0</v>
      </c>
      <c r="D30" s="66" t="n">
        <f aca="false">SUMPRODUCT((Lançamentos!$V$5:$V$504&lt;(YEAR($B30)*12+MONTH($B30)))*(Lançamentos!$W$5:$W$504&gt;=(YEAR($B30)*12+MONTH($B30)))*(MOD((YEAR($B30)*12+MONTH($B30))-Lançamentos!$V$5:$V$504,Lançamentos!$X$5:$X$504)=0)*Lançamentos!$J$5:$J$504)</f>
        <v>4319</v>
      </c>
      <c r="E30" s="67" t="n">
        <f aca="false">C30+D30</f>
        <v>4319</v>
      </c>
      <c r="F30" s="66" t="n">
        <f aca="false">SUM(E$13:E30)</f>
        <v>77742</v>
      </c>
      <c r="G30" s="68" t="str">
        <f aca="false">IF(AND(B30&gt;=DATE(YEAR($C$6),MONTH($C$6),1),B30&lt;=$E$6),"●","")</f>
        <v/>
      </c>
    </row>
    <row r="31" customFormat="false" ht="15" hidden="false" customHeight="false" outlineLevel="0" collapsed="false">
      <c r="B31" s="61" t="n">
        <f aca="false">DATE($C$5,$E$5+18,1)</f>
        <v>46844</v>
      </c>
      <c r="C31" s="62" t="n">
        <f aca="false">SUMIFS(Lançamentos!$J$5:$J$504,Lançamentos!$I$5:$I$504,"&gt;="&amp;$B31,Lançamentos!$I$5:$I$504,"&lt;"&amp;DATE(YEAR($B31),MONTH($B31)+1,1))</f>
        <v>0</v>
      </c>
      <c r="D31" s="62" t="n">
        <f aca="false">SUMPRODUCT((Lançamentos!$V$5:$V$504&lt;(YEAR($B31)*12+MONTH($B31)))*(Lançamentos!$W$5:$W$504&gt;=(YEAR($B31)*12+MONTH($B31)))*(MOD((YEAR($B31)*12+MONTH($B31))-Lançamentos!$V$5:$V$504,Lançamentos!$X$5:$X$504)=0)*Lançamentos!$J$5:$J$504)</f>
        <v>4319</v>
      </c>
      <c r="E31" s="63" t="n">
        <f aca="false">C31+D31</f>
        <v>4319</v>
      </c>
      <c r="F31" s="62" t="n">
        <f aca="false">SUM(E$13:E31)</f>
        <v>82061</v>
      </c>
      <c r="G31" s="64" t="str">
        <f aca="false">IF(AND(B31&gt;=DATE(YEAR($C$6),MONTH($C$6),1),B31&lt;=$E$6),"●","")</f>
        <v/>
      </c>
    </row>
    <row r="32" customFormat="false" ht="15" hidden="false" customHeight="false" outlineLevel="0" collapsed="false">
      <c r="B32" s="65" t="n">
        <f aca="false">DATE($C$5,$E$5+19,1)</f>
        <v>46874</v>
      </c>
      <c r="C32" s="66" t="n">
        <f aca="false">SUMIFS(Lançamentos!$J$5:$J$504,Lançamentos!$I$5:$I$504,"&gt;="&amp;$B32,Lançamentos!$I$5:$I$504,"&lt;"&amp;DATE(YEAR($B32),MONTH($B32)+1,1))</f>
        <v>0</v>
      </c>
      <c r="D32" s="66" t="n">
        <f aca="false">SUMPRODUCT((Lançamentos!$V$5:$V$504&lt;(YEAR($B32)*12+MONTH($B32)))*(Lançamentos!$W$5:$W$504&gt;=(YEAR($B32)*12+MONTH($B32)))*(MOD((YEAR($B32)*12+MONTH($B32))-Lançamentos!$V$5:$V$504,Lançamentos!$X$5:$X$504)=0)*Lançamentos!$J$5:$J$504)</f>
        <v>4319</v>
      </c>
      <c r="E32" s="67" t="n">
        <f aca="false">C32+D32</f>
        <v>4319</v>
      </c>
      <c r="F32" s="66" t="n">
        <f aca="false">SUM(E$13:E32)</f>
        <v>86380</v>
      </c>
      <c r="G32" s="68" t="str">
        <f aca="false">IF(AND(B32&gt;=DATE(YEAR($C$6),MONTH($C$6),1),B32&lt;=$E$6),"●","")</f>
        <v/>
      </c>
    </row>
    <row r="33" customFormat="false" ht="15" hidden="false" customHeight="false" outlineLevel="0" collapsed="false">
      <c r="B33" s="61" t="n">
        <f aca="false">DATE($C$5,$E$5+20,1)</f>
        <v>46905</v>
      </c>
      <c r="C33" s="62" t="n">
        <f aca="false">SUMIFS(Lançamentos!$J$5:$J$504,Lançamentos!$I$5:$I$504,"&gt;="&amp;$B33,Lançamentos!$I$5:$I$504,"&lt;"&amp;DATE(YEAR($B33),MONTH($B33)+1,1))</f>
        <v>0</v>
      </c>
      <c r="D33" s="62" t="n">
        <f aca="false">SUMPRODUCT((Lançamentos!$V$5:$V$504&lt;(YEAR($B33)*12+MONTH($B33)))*(Lançamentos!$W$5:$W$504&gt;=(YEAR($B33)*12+MONTH($B33)))*(MOD((YEAR($B33)*12+MONTH($B33))-Lançamentos!$V$5:$V$504,Lançamentos!$X$5:$X$504)=0)*Lançamentos!$J$5:$J$504)</f>
        <v>4319</v>
      </c>
      <c r="E33" s="63" t="n">
        <f aca="false">C33+D33</f>
        <v>4319</v>
      </c>
      <c r="F33" s="62" t="n">
        <f aca="false">SUM(E$13:E33)</f>
        <v>90699</v>
      </c>
      <c r="G33" s="64" t="str">
        <f aca="false">IF(AND(B33&gt;=DATE(YEAR($C$6),MONTH($C$6),1),B33&lt;=$E$6),"●","")</f>
        <v/>
      </c>
    </row>
    <row r="34" customFormat="false" ht="15" hidden="false" customHeight="false" outlineLevel="0" collapsed="false">
      <c r="B34" s="65" t="n">
        <f aca="false">DATE($C$5,$E$5+21,1)</f>
        <v>46935</v>
      </c>
      <c r="C34" s="66" t="n">
        <f aca="false">SUMIFS(Lançamentos!$J$5:$J$504,Lançamentos!$I$5:$I$504,"&gt;="&amp;$B34,Lançamentos!$I$5:$I$504,"&lt;"&amp;DATE(YEAR($B34),MONTH($B34)+1,1))</f>
        <v>0</v>
      </c>
      <c r="D34" s="66" t="n">
        <f aca="false">SUMPRODUCT((Lançamentos!$V$5:$V$504&lt;(YEAR($B34)*12+MONTH($B34)))*(Lançamentos!$W$5:$W$504&gt;=(YEAR($B34)*12+MONTH($B34)))*(MOD((YEAR($B34)*12+MONTH($B34))-Lançamentos!$V$5:$V$504,Lançamentos!$X$5:$X$504)=0)*Lançamentos!$J$5:$J$504)</f>
        <v>4319</v>
      </c>
      <c r="E34" s="67" t="n">
        <f aca="false">C34+D34</f>
        <v>4319</v>
      </c>
      <c r="F34" s="66" t="n">
        <f aca="false">SUM(E$13:E34)</f>
        <v>95018</v>
      </c>
      <c r="G34" s="68" t="str">
        <f aca="false">IF(AND(B34&gt;=DATE(YEAR($C$6),MONTH($C$6),1),B34&lt;=$E$6),"●","")</f>
        <v/>
      </c>
    </row>
    <row r="35" customFormat="false" ht="15" hidden="false" customHeight="false" outlineLevel="0" collapsed="false">
      <c r="B35" s="61" t="n">
        <f aca="false">DATE($C$5,$E$5+22,1)</f>
        <v>46966</v>
      </c>
      <c r="C35" s="62" t="n">
        <f aca="false">SUMIFS(Lançamentos!$J$5:$J$504,Lançamentos!$I$5:$I$504,"&gt;="&amp;$B35,Lançamentos!$I$5:$I$504,"&lt;"&amp;DATE(YEAR($B35),MONTH($B35)+1,1))</f>
        <v>0</v>
      </c>
      <c r="D35" s="62" t="n">
        <f aca="false">SUMPRODUCT((Lançamentos!$V$5:$V$504&lt;(YEAR($B35)*12+MONTH($B35)))*(Lançamentos!$W$5:$W$504&gt;=(YEAR($B35)*12+MONTH($B35)))*(MOD((YEAR($B35)*12+MONTH($B35))-Lançamentos!$V$5:$V$504,Lançamentos!$X$5:$X$504)=0)*Lançamentos!$J$5:$J$504)</f>
        <v>4319</v>
      </c>
      <c r="E35" s="63" t="n">
        <f aca="false">C35+D35</f>
        <v>4319</v>
      </c>
      <c r="F35" s="62" t="n">
        <f aca="false">SUM(E$13:E35)</f>
        <v>99337</v>
      </c>
      <c r="G35" s="64" t="str">
        <f aca="false">IF(AND(B35&gt;=DATE(YEAR($C$6),MONTH($C$6),1),B35&lt;=$E$6),"●","")</f>
        <v/>
      </c>
    </row>
    <row r="36" customFormat="false" ht="15" hidden="false" customHeight="false" outlineLevel="0" collapsed="false">
      <c r="B36" s="65" t="n">
        <f aca="false">DATE($C$5,$E$5+23,1)</f>
        <v>46997</v>
      </c>
      <c r="C36" s="66" t="n">
        <f aca="false">SUMIFS(Lançamentos!$J$5:$J$504,Lançamentos!$I$5:$I$504,"&gt;="&amp;$B36,Lançamentos!$I$5:$I$504,"&lt;"&amp;DATE(YEAR($B36),MONTH($B36)+1,1))</f>
        <v>0</v>
      </c>
      <c r="D36" s="66" t="n">
        <f aca="false">SUMPRODUCT((Lançamentos!$V$5:$V$504&lt;(YEAR($B36)*12+MONTH($B36)))*(Lançamentos!$W$5:$W$504&gt;=(YEAR($B36)*12+MONTH($B36)))*(MOD((YEAR($B36)*12+MONTH($B36))-Lançamentos!$V$5:$V$504,Lançamentos!$X$5:$X$504)=0)*Lançamentos!$J$5:$J$504)</f>
        <v>4319</v>
      </c>
      <c r="E36" s="67" t="n">
        <f aca="false">C36+D36</f>
        <v>4319</v>
      </c>
      <c r="F36" s="66" t="n">
        <f aca="false">SUM(E$13:E36)</f>
        <v>103656</v>
      </c>
      <c r="G36" s="68" t="str">
        <f aca="false">IF(AND(B36&gt;=DATE(YEAR($C$6),MONTH($C$6),1),B36&lt;=$E$6),"●","")</f>
        <v/>
      </c>
    </row>
    <row r="37" customFormat="false" ht="15" hidden="false" customHeight="false" outlineLevel="0" collapsed="false">
      <c r="B37" s="69" t="s">
        <v>88</v>
      </c>
      <c r="C37" s="70" t="n">
        <f aca="false">SUM(C13:C36)</f>
        <v>4319</v>
      </c>
      <c r="D37" s="70" t="n">
        <f aca="false">SUM(D13:D36)</f>
        <v>99337</v>
      </c>
      <c r="E37" s="70" t="n">
        <f aca="false">SUM(E13:E36)</f>
        <v>103656</v>
      </c>
      <c r="F37" s="69"/>
      <c r="G37" s="69"/>
    </row>
    <row r="40" customFormat="false" ht="15" hidden="false" customHeight="false" outlineLevel="0" collapsed="false">
      <c r="B40" s="22" t="s">
        <v>89</v>
      </c>
    </row>
    <row r="41" customFormat="false" ht="30" hidden="false" customHeight="true" outlineLevel="0" collapsed="false">
      <c r="B41" s="7" t="s">
        <v>29</v>
      </c>
      <c r="C41" s="7" t="s">
        <v>90</v>
      </c>
      <c r="D41" s="71" t="n">
        <f aca="false">B13</f>
        <v>46296</v>
      </c>
      <c r="E41" s="71" t="n">
        <f aca="false">B14</f>
        <v>46327</v>
      </c>
      <c r="F41" s="71" t="n">
        <f aca="false">B15</f>
        <v>46357</v>
      </c>
      <c r="G41" s="71" t="n">
        <f aca="false">B16</f>
        <v>46388</v>
      </c>
      <c r="H41" s="71" t="n">
        <f aca="false">B17</f>
        <v>46419</v>
      </c>
      <c r="I41" s="71" t="n">
        <f aca="false">B18</f>
        <v>46447</v>
      </c>
      <c r="J41" s="71" t="n">
        <f aca="false">B19</f>
        <v>46478</v>
      </c>
      <c r="K41" s="71" t="n">
        <f aca="false">B20</f>
        <v>46508</v>
      </c>
      <c r="L41" s="71" t="n">
        <f aca="false">B21</f>
        <v>46539</v>
      </c>
      <c r="M41" s="71" t="n">
        <f aca="false">B22</f>
        <v>46569</v>
      </c>
      <c r="N41" s="71" t="n">
        <f aca="false">B23</f>
        <v>46600</v>
      </c>
      <c r="O41" s="71" t="n">
        <f aca="false">B24</f>
        <v>46631</v>
      </c>
      <c r="P41" s="71" t="n">
        <f aca="false">B25</f>
        <v>46661</v>
      </c>
      <c r="Q41" s="71" t="n">
        <f aca="false">B26</f>
        <v>46692</v>
      </c>
      <c r="R41" s="71" t="n">
        <f aca="false">B27</f>
        <v>46722</v>
      </c>
      <c r="S41" s="71" t="n">
        <f aca="false">B28</f>
        <v>46753</v>
      </c>
      <c r="T41" s="71" t="n">
        <f aca="false">B29</f>
        <v>46784</v>
      </c>
      <c r="U41" s="71" t="n">
        <f aca="false">B30</f>
        <v>46813</v>
      </c>
      <c r="V41" s="71" t="n">
        <f aca="false">B31</f>
        <v>46844</v>
      </c>
      <c r="W41" s="71" t="n">
        <f aca="false">B32</f>
        <v>46874</v>
      </c>
      <c r="X41" s="71" t="n">
        <f aca="false">B33</f>
        <v>46905</v>
      </c>
      <c r="Y41" s="71" t="n">
        <f aca="false">B34</f>
        <v>46935</v>
      </c>
      <c r="Z41" s="71" t="n">
        <f aca="false">B35</f>
        <v>46966</v>
      </c>
      <c r="AA41" s="71" t="n">
        <f aca="false">B36</f>
        <v>46997</v>
      </c>
    </row>
    <row r="42" customFormat="false" ht="15" hidden="false" customHeight="false" outlineLevel="0" collapsed="false">
      <c r="B42" s="35" t="str">
        <f aca="false">IF(Cadastros!A4="","",Cadastros!A4)</f>
        <v>Despesas Administrativas</v>
      </c>
      <c r="C42" s="72" t="n">
        <f aca="false">SUMIFS($D42:$AA42,$D$41:$AA$41,"&gt;="&amp;DATE(YEAR($C$6),MONTH($C$6),1),$D$41:$AA$41,"&lt;="&amp;$E$6)</f>
        <v>25914</v>
      </c>
      <c r="D42" s="73" t="n">
        <f aca="false">IF($B42="",0,SUMPRODUCT((Lançamentos!$D$5:$D$504=$B42)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42,Lançamentos!$I$5:$I$504,"&gt;="&amp;D$41,Lançamentos!$I$5:$I$504,"&lt;"&amp;DATE(YEAR(D$41),MONTH(D$41)+1,1)))</f>
        <v>4319</v>
      </c>
      <c r="E42" s="73" t="n">
        <f aca="false">IF($B42="",0,SUMPRODUCT((Lançamentos!$D$5:$D$504=$B42)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42,Lançamentos!$I$5:$I$504,"&gt;="&amp;E$41,Lançamentos!$I$5:$I$504,"&lt;"&amp;DATE(YEAR(E$41),MONTH(E$41)+1,1)))</f>
        <v>4319</v>
      </c>
      <c r="F42" s="73" t="n">
        <f aca="false">IF($B42="",0,SUMPRODUCT((Lançamentos!$D$5:$D$504=$B42)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42,Lançamentos!$I$5:$I$504,"&gt;="&amp;F$41,Lançamentos!$I$5:$I$504,"&lt;"&amp;DATE(YEAR(F$41),MONTH(F$41)+1,1)))</f>
        <v>4319</v>
      </c>
      <c r="G42" s="73" t="n">
        <f aca="false">IF($B42="",0,SUMPRODUCT((Lançamentos!$D$5:$D$504=$B42)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42,Lançamentos!$I$5:$I$504,"&gt;="&amp;G$41,Lançamentos!$I$5:$I$504,"&lt;"&amp;DATE(YEAR(G$41),MONTH(G$41)+1,1)))</f>
        <v>4319</v>
      </c>
      <c r="H42" s="73" t="n">
        <f aca="false">IF($B42="",0,SUMPRODUCT((Lançamentos!$D$5:$D$504=$B42)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42,Lançamentos!$I$5:$I$504,"&gt;="&amp;H$41,Lançamentos!$I$5:$I$504,"&lt;"&amp;DATE(YEAR(H$41),MONTH(H$41)+1,1)))</f>
        <v>4319</v>
      </c>
      <c r="I42" s="73" t="n">
        <f aca="false">IF($B42="",0,SUMPRODUCT((Lançamentos!$D$5:$D$504=$B42)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42,Lançamentos!$I$5:$I$504,"&gt;="&amp;I$41,Lançamentos!$I$5:$I$504,"&lt;"&amp;DATE(YEAR(I$41),MONTH(I$41)+1,1)))</f>
        <v>4319</v>
      </c>
      <c r="J42" s="73" t="n">
        <f aca="false">IF($B42="",0,SUMPRODUCT((Lançamentos!$D$5:$D$504=$B42)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42,Lançamentos!$I$5:$I$504,"&gt;="&amp;J$41,Lançamentos!$I$5:$I$504,"&lt;"&amp;DATE(YEAR(J$41),MONTH(J$41)+1,1)))</f>
        <v>4319</v>
      </c>
      <c r="K42" s="73" t="n">
        <f aca="false">IF($B42="",0,SUMPRODUCT((Lançamentos!$D$5:$D$504=$B42)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42,Lançamentos!$I$5:$I$504,"&gt;="&amp;K$41,Lançamentos!$I$5:$I$504,"&lt;"&amp;DATE(YEAR(K$41),MONTH(K$41)+1,1)))</f>
        <v>4319</v>
      </c>
      <c r="L42" s="73" t="n">
        <f aca="false">IF($B42="",0,SUMPRODUCT((Lançamentos!$D$5:$D$504=$B42)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42,Lançamentos!$I$5:$I$504,"&gt;="&amp;L$41,Lançamentos!$I$5:$I$504,"&lt;"&amp;DATE(YEAR(L$41),MONTH(L$41)+1,1)))</f>
        <v>4319</v>
      </c>
      <c r="M42" s="73" t="n">
        <f aca="false">IF($B42="",0,SUMPRODUCT((Lançamentos!$D$5:$D$504=$B42)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42,Lançamentos!$I$5:$I$504,"&gt;="&amp;M$41,Lançamentos!$I$5:$I$504,"&lt;"&amp;DATE(YEAR(M$41),MONTH(M$41)+1,1)))</f>
        <v>4319</v>
      </c>
      <c r="N42" s="73" t="n">
        <f aca="false">IF($B42="",0,SUMPRODUCT((Lançamentos!$D$5:$D$504=$B42)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42,Lançamentos!$I$5:$I$504,"&gt;="&amp;N$41,Lançamentos!$I$5:$I$504,"&lt;"&amp;DATE(YEAR(N$41),MONTH(N$41)+1,1)))</f>
        <v>4319</v>
      </c>
      <c r="O42" s="73" t="n">
        <f aca="false">IF($B42="",0,SUMPRODUCT((Lançamentos!$D$5:$D$504=$B42)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42,Lançamentos!$I$5:$I$504,"&gt;="&amp;O$41,Lançamentos!$I$5:$I$504,"&lt;"&amp;DATE(YEAR(O$41),MONTH(O$41)+1,1)))</f>
        <v>4319</v>
      </c>
      <c r="P42" s="73" t="n">
        <f aca="false">IF($B42="",0,SUMPRODUCT((Lançamentos!$D$5:$D$504=$B42)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42,Lançamentos!$I$5:$I$504,"&gt;="&amp;P$41,Lançamentos!$I$5:$I$504,"&lt;"&amp;DATE(YEAR(P$41),MONTH(P$41)+1,1)))</f>
        <v>4319</v>
      </c>
      <c r="Q42" s="73" t="n">
        <f aca="false">IF($B42="",0,SUMPRODUCT((Lançamentos!$D$5:$D$504=$B42)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42,Lançamentos!$I$5:$I$504,"&gt;="&amp;Q$41,Lançamentos!$I$5:$I$504,"&lt;"&amp;DATE(YEAR(Q$41),MONTH(Q$41)+1,1)))</f>
        <v>4319</v>
      </c>
      <c r="R42" s="73" t="n">
        <f aca="false">IF($B42="",0,SUMPRODUCT((Lançamentos!$D$5:$D$504=$B42)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42,Lançamentos!$I$5:$I$504,"&gt;="&amp;R$41,Lançamentos!$I$5:$I$504,"&lt;"&amp;DATE(YEAR(R$41),MONTH(R$41)+1,1)))</f>
        <v>4319</v>
      </c>
      <c r="S42" s="73" t="n">
        <f aca="false">IF($B42="",0,SUMPRODUCT((Lançamentos!$D$5:$D$504=$B42)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42,Lançamentos!$I$5:$I$504,"&gt;="&amp;S$41,Lançamentos!$I$5:$I$504,"&lt;"&amp;DATE(YEAR(S$41),MONTH(S$41)+1,1)))</f>
        <v>4319</v>
      </c>
      <c r="T42" s="73" t="n">
        <f aca="false">IF($B42="",0,SUMPRODUCT((Lançamentos!$D$5:$D$504=$B42)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42,Lançamentos!$I$5:$I$504,"&gt;="&amp;T$41,Lançamentos!$I$5:$I$504,"&lt;"&amp;DATE(YEAR(T$41),MONTH(T$41)+1,1)))</f>
        <v>4319</v>
      </c>
      <c r="U42" s="73" t="n">
        <f aca="false">IF($B42="",0,SUMPRODUCT((Lançamentos!$D$5:$D$504=$B42)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42,Lançamentos!$I$5:$I$504,"&gt;="&amp;U$41,Lançamentos!$I$5:$I$504,"&lt;"&amp;DATE(YEAR(U$41),MONTH(U$41)+1,1)))</f>
        <v>4319</v>
      </c>
      <c r="V42" s="73" t="n">
        <f aca="false">IF($B42="",0,SUMPRODUCT((Lançamentos!$D$5:$D$504=$B42)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42,Lançamentos!$I$5:$I$504,"&gt;="&amp;V$41,Lançamentos!$I$5:$I$504,"&lt;"&amp;DATE(YEAR(V$41),MONTH(V$41)+1,1)))</f>
        <v>4319</v>
      </c>
      <c r="W42" s="73" t="n">
        <f aca="false">IF($B42="",0,SUMPRODUCT((Lançamentos!$D$5:$D$504=$B42)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42,Lançamentos!$I$5:$I$504,"&gt;="&amp;W$41,Lançamentos!$I$5:$I$504,"&lt;"&amp;DATE(YEAR(W$41),MONTH(W$41)+1,1)))</f>
        <v>4319</v>
      </c>
      <c r="X42" s="73" t="n">
        <f aca="false">IF($B42="",0,SUMPRODUCT((Lançamentos!$D$5:$D$504=$B42)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42,Lançamentos!$I$5:$I$504,"&gt;="&amp;X$41,Lançamentos!$I$5:$I$504,"&lt;"&amp;DATE(YEAR(X$41),MONTH(X$41)+1,1)))</f>
        <v>4319</v>
      </c>
      <c r="Y42" s="73" t="n">
        <f aca="false">IF($B42="",0,SUMPRODUCT((Lançamentos!$D$5:$D$504=$B42)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42,Lançamentos!$I$5:$I$504,"&gt;="&amp;Y$41,Lançamentos!$I$5:$I$504,"&lt;"&amp;DATE(YEAR(Y$41),MONTH(Y$41)+1,1)))</f>
        <v>4319</v>
      </c>
      <c r="Z42" s="73" t="n">
        <f aca="false">IF($B42="",0,SUMPRODUCT((Lançamentos!$D$5:$D$504=$B42)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42,Lançamentos!$I$5:$I$504,"&gt;="&amp;Z$41,Lançamentos!$I$5:$I$504,"&lt;"&amp;DATE(YEAR(Z$41),MONTH(Z$41)+1,1)))</f>
        <v>4319</v>
      </c>
      <c r="AA42" s="73" t="n">
        <f aca="false">IF($B42="",0,SUMPRODUCT((Lançamentos!$D$5:$D$504=$B42)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42,Lançamentos!$I$5:$I$504,"&gt;="&amp;AA$41,Lançamentos!$I$5:$I$504,"&lt;"&amp;DATE(YEAR(AA$41),MONTH(AA$41)+1,1)))</f>
        <v>4319</v>
      </c>
    </row>
    <row r="43" customFormat="false" ht="15" hidden="false" customHeight="false" outlineLevel="0" collapsed="false">
      <c r="B43" s="38" t="str">
        <f aca="false">IF(Cadastros!A5="","",Cadastros!A5)</f>
        <v>Despesas com Pessoal</v>
      </c>
      <c r="C43" s="74" t="n">
        <f aca="false">SUMIFS($D43:$AA43,$D$41:$AA$41,"&gt;="&amp;DATE(YEAR($C$6),MONTH($C$6),1),$D$41:$AA$41,"&lt;="&amp;$E$6)</f>
        <v>0</v>
      </c>
      <c r="D43" s="55" t="n">
        <f aca="false">IF($B43="",0,SUMPRODUCT((Lançamentos!$D$5:$D$504=$B43)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43,Lançamentos!$I$5:$I$504,"&gt;="&amp;D$41,Lançamentos!$I$5:$I$504,"&lt;"&amp;DATE(YEAR(D$41),MONTH(D$41)+1,1)))</f>
        <v>0</v>
      </c>
      <c r="E43" s="55" t="n">
        <f aca="false">IF($B43="",0,SUMPRODUCT((Lançamentos!$D$5:$D$504=$B43)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43,Lançamentos!$I$5:$I$504,"&gt;="&amp;E$41,Lançamentos!$I$5:$I$504,"&lt;"&amp;DATE(YEAR(E$41),MONTH(E$41)+1,1)))</f>
        <v>0</v>
      </c>
      <c r="F43" s="55" t="n">
        <f aca="false">IF($B43="",0,SUMPRODUCT((Lançamentos!$D$5:$D$504=$B43)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43,Lançamentos!$I$5:$I$504,"&gt;="&amp;F$41,Lançamentos!$I$5:$I$504,"&lt;"&amp;DATE(YEAR(F$41),MONTH(F$41)+1,1)))</f>
        <v>0</v>
      </c>
      <c r="G43" s="55" t="n">
        <f aca="false">IF($B43="",0,SUMPRODUCT((Lançamentos!$D$5:$D$504=$B43)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43,Lançamentos!$I$5:$I$504,"&gt;="&amp;G$41,Lançamentos!$I$5:$I$504,"&lt;"&amp;DATE(YEAR(G$41),MONTH(G$41)+1,1)))</f>
        <v>0</v>
      </c>
      <c r="H43" s="55" t="n">
        <f aca="false">IF($B43="",0,SUMPRODUCT((Lançamentos!$D$5:$D$504=$B43)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43,Lançamentos!$I$5:$I$504,"&gt;="&amp;H$41,Lançamentos!$I$5:$I$504,"&lt;"&amp;DATE(YEAR(H$41),MONTH(H$41)+1,1)))</f>
        <v>0</v>
      </c>
      <c r="I43" s="55" t="n">
        <f aca="false">IF($B43="",0,SUMPRODUCT((Lançamentos!$D$5:$D$504=$B43)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43,Lançamentos!$I$5:$I$504,"&gt;="&amp;I$41,Lançamentos!$I$5:$I$504,"&lt;"&amp;DATE(YEAR(I$41),MONTH(I$41)+1,1)))</f>
        <v>0</v>
      </c>
      <c r="J43" s="55" t="n">
        <f aca="false">IF($B43="",0,SUMPRODUCT((Lançamentos!$D$5:$D$504=$B43)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43,Lançamentos!$I$5:$I$504,"&gt;="&amp;J$41,Lançamentos!$I$5:$I$504,"&lt;"&amp;DATE(YEAR(J$41),MONTH(J$41)+1,1)))</f>
        <v>0</v>
      </c>
      <c r="K43" s="55" t="n">
        <f aca="false">IF($B43="",0,SUMPRODUCT((Lançamentos!$D$5:$D$504=$B43)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43,Lançamentos!$I$5:$I$504,"&gt;="&amp;K$41,Lançamentos!$I$5:$I$504,"&lt;"&amp;DATE(YEAR(K$41),MONTH(K$41)+1,1)))</f>
        <v>0</v>
      </c>
      <c r="L43" s="55" t="n">
        <f aca="false">IF($B43="",0,SUMPRODUCT((Lançamentos!$D$5:$D$504=$B43)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43,Lançamentos!$I$5:$I$504,"&gt;="&amp;L$41,Lançamentos!$I$5:$I$504,"&lt;"&amp;DATE(YEAR(L$41),MONTH(L$41)+1,1)))</f>
        <v>0</v>
      </c>
      <c r="M43" s="55" t="n">
        <f aca="false">IF($B43="",0,SUMPRODUCT((Lançamentos!$D$5:$D$504=$B43)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43,Lançamentos!$I$5:$I$504,"&gt;="&amp;M$41,Lançamentos!$I$5:$I$504,"&lt;"&amp;DATE(YEAR(M$41),MONTH(M$41)+1,1)))</f>
        <v>0</v>
      </c>
      <c r="N43" s="55" t="n">
        <f aca="false">IF($B43="",0,SUMPRODUCT((Lançamentos!$D$5:$D$504=$B43)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43,Lançamentos!$I$5:$I$504,"&gt;="&amp;N$41,Lançamentos!$I$5:$I$504,"&lt;"&amp;DATE(YEAR(N$41),MONTH(N$41)+1,1)))</f>
        <v>0</v>
      </c>
      <c r="O43" s="55" t="n">
        <f aca="false">IF($B43="",0,SUMPRODUCT((Lançamentos!$D$5:$D$504=$B43)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43,Lançamentos!$I$5:$I$504,"&gt;="&amp;O$41,Lançamentos!$I$5:$I$504,"&lt;"&amp;DATE(YEAR(O$41),MONTH(O$41)+1,1)))</f>
        <v>0</v>
      </c>
      <c r="P43" s="55" t="n">
        <f aca="false">IF($B43="",0,SUMPRODUCT((Lançamentos!$D$5:$D$504=$B43)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43,Lançamentos!$I$5:$I$504,"&gt;="&amp;P$41,Lançamentos!$I$5:$I$504,"&lt;"&amp;DATE(YEAR(P$41),MONTH(P$41)+1,1)))</f>
        <v>0</v>
      </c>
      <c r="Q43" s="55" t="n">
        <f aca="false">IF($B43="",0,SUMPRODUCT((Lançamentos!$D$5:$D$504=$B43)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43,Lançamentos!$I$5:$I$504,"&gt;="&amp;Q$41,Lançamentos!$I$5:$I$504,"&lt;"&amp;DATE(YEAR(Q$41),MONTH(Q$41)+1,1)))</f>
        <v>0</v>
      </c>
      <c r="R43" s="55" t="n">
        <f aca="false">IF($B43="",0,SUMPRODUCT((Lançamentos!$D$5:$D$504=$B43)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43,Lançamentos!$I$5:$I$504,"&gt;="&amp;R$41,Lançamentos!$I$5:$I$504,"&lt;"&amp;DATE(YEAR(R$41),MONTH(R$41)+1,1)))</f>
        <v>0</v>
      </c>
      <c r="S43" s="55" t="n">
        <f aca="false">IF($B43="",0,SUMPRODUCT((Lançamentos!$D$5:$D$504=$B43)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43,Lançamentos!$I$5:$I$504,"&gt;="&amp;S$41,Lançamentos!$I$5:$I$504,"&lt;"&amp;DATE(YEAR(S$41),MONTH(S$41)+1,1)))</f>
        <v>0</v>
      </c>
      <c r="T43" s="55" t="n">
        <f aca="false">IF($B43="",0,SUMPRODUCT((Lançamentos!$D$5:$D$504=$B43)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43,Lançamentos!$I$5:$I$504,"&gt;="&amp;T$41,Lançamentos!$I$5:$I$504,"&lt;"&amp;DATE(YEAR(T$41),MONTH(T$41)+1,1)))</f>
        <v>0</v>
      </c>
      <c r="U43" s="55" t="n">
        <f aca="false">IF($B43="",0,SUMPRODUCT((Lançamentos!$D$5:$D$504=$B43)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43,Lançamentos!$I$5:$I$504,"&gt;="&amp;U$41,Lançamentos!$I$5:$I$504,"&lt;"&amp;DATE(YEAR(U$41),MONTH(U$41)+1,1)))</f>
        <v>0</v>
      </c>
      <c r="V43" s="55" t="n">
        <f aca="false">IF($B43="",0,SUMPRODUCT((Lançamentos!$D$5:$D$504=$B43)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43,Lançamentos!$I$5:$I$504,"&gt;="&amp;V$41,Lançamentos!$I$5:$I$504,"&lt;"&amp;DATE(YEAR(V$41),MONTH(V$41)+1,1)))</f>
        <v>0</v>
      </c>
      <c r="W43" s="55" t="n">
        <f aca="false">IF($B43="",0,SUMPRODUCT((Lançamentos!$D$5:$D$504=$B43)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43,Lançamentos!$I$5:$I$504,"&gt;="&amp;W$41,Lançamentos!$I$5:$I$504,"&lt;"&amp;DATE(YEAR(W$41),MONTH(W$41)+1,1)))</f>
        <v>0</v>
      </c>
      <c r="X43" s="55" t="n">
        <f aca="false">IF($B43="",0,SUMPRODUCT((Lançamentos!$D$5:$D$504=$B43)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43,Lançamentos!$I$5:$I$504,"&gt;="&amp;X$41,Lançamentos!$I$5:$I$504,"&lt;"&amp;DATE(YEAR(X$41),MONTH(X$41)+1,1)))</f>
        <v>0</v>
      </c>
      <c r="Y43" s="55" t="n">
        <f aca="false">IF($B43="",0,SUMPRODUCT((Lançamentos!$D$5:$D$504=$B43)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43,Lançamentos!$I$5:$I$504,"&gt;="&amp;Y$41,Lançamentos!$I$5:$I$504,"&lt;"&amp;DATE(YEAR(Y$41),MONTH(Y$41)+1,1)))</f>
        <v>0</v>
      </c>
      <c r="Z43" s="55" t="n">
        <f aca="false">IF($B43="",0,SUMPRODUCT((Lançamentos!$D$5:$D$504=$B43)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43,Lançamentos!$I$5:$I$504,"&gt;="&amp;Z$41,Lançamentos!$I$5:$I$504,"&lt;"&amp;DATE(YEAR(Z$41),MONTH(Z$41)+1,1)))</f>
        <v>0</v>
      </c>
      <c r="AA43" s="55" t="n">
        <f aca="false">IF($B43="",0,SUMPRODUCT((Lançamentos!$D$5:$D$504=$B43)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43,Lançamentos!$I$5:$I$504,"&gt;="&amp;AA$41,Lançamentos!$I$5:$I$504,"&lt;"&amp;DATE(YEAR(AA$41),MONTH(AA$41)+1,1)))</f>
        <v>0</v>
      </c>
    </row>
    <row r="44" customFormat="false" ht="15" hidden="false" customHeight="false" outlineLevel="0" collapsed="false">
      <c r="B44" s="35" t="str">
        <f aca="false">IF(Cadastros!A6="","",Cadastros!A6)</f>
        <v>Tributos e Taxas</v>
      </c>
      <c r="C44" s="72" t="n">
        <f aca="false">SUMIFS($D44:$AA44,$D$41:$AA$41,"&gt;="&amp;DATE(YEAR($C$6),MONTH($C$6),1),$D$41:$AA$41,"&lt;="&amp;$E$6)</f>
        <v>0</v>
      </c>
      <c r="D44" s="73" t="n">
        <f aca="false">IF($B44="",0,SUMPRODUCT((Lançamentos!$D$5:$D$504=$B44)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44,Lançamentos!$I$5:$I$504,"&gt;="&amp;D$41,Lançamentos!$I$5:$I$504,"&lt;"&amp;DATE(YEAR(D$41),MONTH(D$41)+1,1)))</f>
        <v>0</v>
      </c>
      <c r="E44" s="73" t="n">
        <f aca="false">IF($B44="",0,SUMPRODUCT((Lançamentos!$D$5:$D$504=$B44)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44,Lançamentos!$I$5:$I$504,"&gt;="&amp;E$41,Lançamentos!$I$5:$I$504,"&lt;"&amp;DATE(YEAR(E$41),MONTH(E$41)+1,1)))</f>
        <v>0</v>
      </c>
      <c r="F44" s="73" t="n">
        <f aca="false">IF($B44="",0,SUMPRODUCT((Lançamentos!$D$5:$D$504=$B44)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44,Lançamentos!$I$5:$I$504,"&gt;="&amp;F$41,Lançamentos!$I$5:$I$504,"&lt;"&amp;DATE(YEAR(F$41),MONTH(F$41)+1,1)))</f>
        <v>0</v>
      </c>
      <c r="G44" s="73" t="n">
        <f aca="false">IF($B44="",0,SUMPRODUCT((Lançamentos!$D$5:$D$504=$B44)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44,Lançamentos!$I$5:$I$504,"&gt;="&amp;G$41,Lançamentos!$I$5:$I$504,"&lt;"&amp;DATE(YEAR(G$41),MONTH(G$41)+1,1)))</f>
        <v>0</v>
      </c>
      <c r="H44" s="73" t="n">
        <f aca="false">IF($B44="",0,SUMPRODUCT((Lançamentos!$D$5:$D$504=$B44)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44,Lançamentos!$I$5:$I$504,"&gt;="&amp;H$41,Lançamentos!$I$5:$I$504,"&lt;"&amp;DATE(YEAR(H$41),MONTH(H$41)+1,1)))</f>
        <v>0</v>
      </c>
      <c r="I44" s="73" t="n">
        <f aca="false">IF($B44="",0,SUMPRODUCT((Lançamentos!$D$5:$D$504=$B44)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44,Lançamentos!$I$5:$I$504,"&gt;="&amp;I$41,Lançamentos!$I$5:$I$504,"&lt;"&amp;DATE(YEAR(I$41),MONTH(I$41)+1,1)))</f>
        <v>0</v>
      </c>
      <c r="J44" s="73" t="n">
        <f aca="false">IF($B44="",0,SUMPRODUCT((Lançamentos!$D$5:$D$504=$B44)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44,Lançamentos!$I$5:$I$504,"&gt;="&amp;J$41,Lançamentos!$I$5:$I$504,"&lt;"&amp;DATE(YEAR(J$41),MONTH(J$41)+1,1)))</f>
        <v>0</v>
      </c>
      <c r="K44" s="73" t="n">
        <f aca="false">IF($B44="",0,SUMPRODUCT((Lançamentos!$D$5:$D$504=$B44)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44,Lançamentos!$I$5:$I$504,"&gt;="&amp;K$41,Lançamentos!$I$5:$I$504,"&lt;"&amp;DATE(YEAR(K$41),MONTH(K$41)+1,1)))</f>
        <v>0</v>
      </c>
      <c r="L44" s="73" t="n">
        <f aca="false">IF($B44="",0,SUMPRODUCT((Lançamentos!$D$5:$D$504=$B44)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44,Lançamentos!$I$5:$I$504,"&gt;="&amp;L$41,Lançamentos!$I$5:$I$504,"&lt;"&amp;DATE(YEAR(L$41),MONTH(L$41)+1,1)))</f>
        <v>0</v>
      </c>
      <c r="M44" s="73" t="n">
        <f aca="false">IF($B44="",0,SUMPRODUCT((Lançamentos!$D$5:$D$504=$B44)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44,Lançamentos!$I$5:$I$504,"&gt;="&amp;M$41,Lançamentos!$I$5:$I$504,"&lt;"&amp;DATE(YEAR(M$41),MONTH(M$41)+1,1)))</f>
        <v>0</v>
      </c>
      <c r="N44" s="73" t="n">
        <f aca="false">IF($B44="",0,SUMPRODUCT((Lançamentos!$D$5:$D$504=$B44)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44,Lançamentos!$I$5:$I$504,"&gt;="&amp;N$41,Lançamentos!$I$5:$I$504,"&lt;"&amp;DATE(YEAR(N$41),MONTH(N$41)+1,1)))</f>
        <v>0</v>
      </c>
      <c r="O44" s="73" t="n">
        <f aca="false">IF($B44="",0,SUMPRODUCT((Lançamentos!$D$5:$D$504=$B44)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44,Lançamentos!$I$5:$I$504,"&gt;="&amp;O$41,Lançamentos!$I$5:$I$504,"&lt;"&amp;DATE(YEAR(O$41),MONTH(O$41)+1,1)))</f>
        <v>0</v>
      </c>
      <c r="P44" s="73" t="n">
        <f aca="false">IF($B44="",0,SUMPRODUCT((Lançamentos!$D$5:$D$504=$B44)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44,Lançamentos!$I$5:$I$504,"&gt;="&amp;P$41,Lançamentos!$I$5:$I$504,"&lt;"&amp;DATE(YEAR(P$41),MONTH(P$41)+1,1)))</f>
        <v>0</v>
      </c>
      <c r="Q44" s="73" t="n">
        <f aca="false">IF($B44="",0,SUMPRODUCT((Lançamentos!$D$5:$D$504=$B44)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44,Lançamentos!$I$5:$I$504,"&gt;="&amp;Q$41,Lançamentos!$I$5:$I$504,"&lt;"&amp;DATE(YEAR(Q$41),MONTH(Q$41)+1,1)))</f>
        <v>0</v>
      </c>
      <c r="R44" s="73" t="n">
        <f aca="false">IF($B44="",0,SUMPRODUCT((Lançamentos!$D$5:$D$504=$B44)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44,Lançamentos!$I$5:$I$504,"&gt;="&amp;R$41,Lançamentos!$I$5:$I$504,"&lt;"&amp;DATE(YEAR(R$41),MONTH(R$41)+1,1)))</f>
        <v>0</v>
      </c>
      <c r="S44" s="73" t="n">
        <f aca="false">IF($B44="",0,SUMPRODUCT((Lançamentos!$D$5:$D$504=$B44)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44,Lançamentos!$I$5:$I$504,"&gt;="&amp;S$41,Lançamentos!$I$5:$I$504,"&lt;"&amp;DATE(YEAR(S$41),MONTH(S$41)+1,1)))</f>
        <v>0</v>
      </c>
      <c r="T44" s="73" t="n">
        <f aca="false">IF($B44="",0,SUMPRODUCT((Lançamentos!$D$5:$D$504=$B44)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44,Lançamentos!$I$5:$I$504,"&gt;="&amp;T$41,Lançamentos!$I$5:$I$504,"&lt;"&amp;DATE(YEAR(T$41),MONTH(T$41)+1,1)))</f>
        <v>0</v>
      </c>
      <c r="U44" s="73" t="n">
        <f aca="false">IF($B44="",0,SUMPRODUCT((Lançamentos!$D$5:$D$504=$B44)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44,Lançamentos!$I$5:$I$504,"&gt;="&amp;U$41,Lançamentos!$I$5:$I$504,"&lt;"&amp;DATE(YEAR(U$41),MONTH(U$41)+1,1)))</f>
        <v>0</v>
      </c>
      <c r="V44" s="73" t="n">
        <f aca="false">IF($B44="",0,SUMPRODUCT((Lançamentos!$D$5:$D$504=$B44)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44,Lançamentos!$I$5:$I$504,"&gt;="&amp;V$41,Lançamentos!$I$5:$I$504,"&lt;"&amp;DATE(YEAR(V$41),MONTH(V$41)+1,1)))</f>
        <v>0</v>
      </c>
      <c r="W44" s="73" t="n">
        <f aca="false">IF($B44="",0,SUMPRODUCT((Lançamentos!$D$5:$D$504=$B44)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44,Lançamentos!$I$5:$I$504,"&gt;="&amp;W$41,Lançamentos!$I$5:$I$504,"&lt;"&amp;DATE(YEAR(W$41),MONTH(W$41)+1,1)))</f>
        <v>0</v>
      </c>
      <c r="X44" s="73" t="n">
        <f aca="false">IF($B44="",0,SUMPRODUCT((Lançamentos!$D$5:$D$504=$B44)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44,Lançamentos!$I$5:$I$504,"&gt;="&amp;X$41,Lançamentos!$I$5:$I$504,"&lt;"&amp;DATE(YEAR(X$41),MONTH(X$41)+1,1)))</f>
        <v>0</v>
      </c>
      <c r="Y44" s="73" t="n">
        <f aca="false">IF($B44="",0,SUMPRODUCT((Lançamentos!$D$5:$D$504=$B44)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44,Lançamentos!$I$5:$I$504,"&gt;="&amp;Y$41,Lançamentos!$I$5:$I$504,"&lt;"&amp;DATE(YEAR(Y$41),MONTH(Y$41)+1,1)))</f>
        <v>0</v>
      </c>
      <c r="Z44" s="73" t="n">
        <f aca="false">IF($B44="",0,SUMPRODUCT((Lançamentos!$D$5:$D$504=$B44)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44,Lançamentos!$I$5:$I$504,"&gt;="&amp;Z$41,Lançamentos!$I$5:$I$504,"&lt;"&amp;DATE(YEAR(Z$41),MONTH(Z$41)+1,1)))</f>
        <v>0</v>
      </c>
      <c r="AA44" s="73" t="n">
        <f aca="false">IF($B44="",0,SUMPRODUCT((Lançamentos!$D$5:$D$504=$B44)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44,Lançamentos!$I$5:$I$504,"&gt;="&amp;AA$41,Lançamentos!$I$5:$I$504,"&lt;"&amp;DATE(YEAR(AA$41),MONTH(AA$41)+1,1)))</f>
        <v>0</v>
      </c>
    </row>
    <row r="45" customFormat="false" ht="15" hidden="false" customHeight="false" outlineLevel="0" collapsed="false">
      <c r="B45" s="38" t="str">
        <f aca="false">IF(Cadastros!A7="","",Cadastros!A7)</f>
        <v>Custos Operacionais - O&amp;M Usinas</v>
      </c>
      <c r="C45" s="74" t="n">
        <f aca="false">SUMIFS($D45:$AA45,$D$41:$AA$41,"&gt;="&amp;DATE(YEAR($C$6),MONTH($C$6),1),$D$41:$AA$41,"&lt;="&amp;$E$6)</f>
        <v>0</v>
      </c>
      <c r="D45" s="55" t="n">
        <f aca="false">IF($B45="",0,SUMPRODUCT((Lançamentos!$D$5:$D$504=$B45)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45,Lançamentos!$I$5:$I$504,"&gt;="&amp;D$41,Lançamentos!$I$5:$I$504,"&lt;"&amp;DATE(YEAR(D$41),MONTH(D$41)+1,1)))</f>
        <v>0</v>
      </c>
      <c r="E45" s="55" t="n">
        <f aca="false">IF($B45="",0,SUMPRODUCT((Lançamentos!$D$5:$D$504=$B45)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45,Lançamentos!$I$5:$I$504,"&gt;="&amp;E$41,Lançamentos!$I$5:$I$504,"&lt;"&amp;DATE(YEAR(E$41),MONTH(E$41)+1,1)))</f>
        <v>0</v>
      </c>
      <c r="F45" s="55" t="n">
        <f aca="false">IF($B45="",0,SUMPRODUCT((Lançamentos!$D$5:$D$504=$B45)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45,Lançamentos!$I$5:$I$504,"&gt;="&amp;F$41,Lançamentos!$I$5:$I$504,"&lt;"&amp;DATE(YEAR(F$41),MONTH(F$41)+1,1)))</f>
        <v>0</v>
      </c>
      <c r="G45" s="55" t="n">
        <f aca="false">IF($B45="",0,SUMPRODUCT((Lançamentos!$D$5:$D$504=$B45)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45,Lançamentos!$I$5:$I$504,"&gt;="&amp;G$41,Lançamentos!$I$5:$I$504,"&lt;"&amp;DATE(YEAR(G$41),MONTH(G$41)+1,1)))</f>
        <v>0</v>
      </c>
      <c r="H45" s="55" t="n">
        <f aca="false">IF($B45="",0,SUMPRODUCT((Lançamentos!$D$5:$D$504=$B45)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45,Lançamentos!$I$5:$I$504,"&gt;="&amp;H$41,Lançamentos!$I$5:$I$504,"&lt;"&amp;DATE(YEAR(H$41),MONTH(H$41)+1,1)))</f>
        <v>0</v>
      </c>
      <c r="I45" s="55" t="n">
        <f aca="false">IF($B45="",0,SUMPRODUCT((Lançamentos!$D$5:$D$504=$B45)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45,Lançamentos!$I$5:$I$504,"&gt;="&amp;I$41,Lançamentos!$I$5:$I$504,"&lt;"&amp;DATE(YEAR(I$41),MONTH(I$41)+1,1)))</f>
        <v>0</v>
      </c>
      <c r="J45" s="55" t="n">
        <f aca="false">IF($B45="",0,SUMPRODUCT((Lançamentos!$D$5:$D$504=$B45)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45,Lançamentos!$I$5:$I$504,"&gt;="&amp;J$41,Lançamentos!$I$5:$I$504,"&lt;"&amp;DATE(YEAR(J$41),MONTH(J$41)+1,1)))</f>
        <v>0</v>
      </c>
      <c r="K45" s="55" t="n">
        <f aca="false">IF($B45="",0,SUMPRODUCT((Lançamentos!$D$5:$D$504=$B45)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45,Lançamentos!$I$5:$I$504,"&gt;="&amp;K$41,Lançamentos!$I$5:$I$504,"&lt;"&amp;DATE(YEAR(K$41),MONTH(K$41)+1,1)))</f>
        <v>0</v>
      </c>
      <c r="L45" s="55" t="n">
        <f aca="false">IF($B45="",0,SUMPRODUCT((Lançamentos!$D$5:$D$504=$B45)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45,Lançamentos!$I$5:$I$504,"&gt;="&amp;L$41,Lançamentos!$I$5:$I$504,"&lt;"&amp;DATE(YEAR(L$41),MONTH(L$41)+1,1)))</f>
        <v>0</v>
      </c>
      <c r="M45" s="55" t="n">
        <f aca="false">IF($B45="",0,SUMPRODUCT((Lançamentos!$D$5:$D$504=$B45)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45,Lançamentos!$I$5:$I$504,"&gt;="&amp;M$41,Lançamentos!$I$5:$I$504,"&lt;"&amp;DATE(YEAR(M$41),MONTH(M$41)+1,1)))</f>
        <v>0</v>
      </c>
      <c r="N45" s="55" t="n">
        <f aca="false">IF($B45="",0,SUMPRODUCT((Lançamentos!$D$5:$D$504=$B45)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45,Lançamentos!$I$5:$I$504,"&gt;="&amp;N$41,Lançamentos!$I$5:$I$504,"&lt;"&amp;DATE(YEAR(N$41),MONTH(N$41)+1,1)))</f>
        <v>0</v>
      </c>
      <c r="O45" s="55" t="n">
        <f aca="false">IF($B45="",0,SUMPRODUCT((Lançamentos!$D$5:$D$504=$B45)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45,Lançamentos!$I$5:$I$504,"&gt;="&amp;O$41,Lançamentos!$I$5:$I$504,"&lt;"&amp;DATE(YEAR(O$41),MONTH(O$41)+1,1)))</f>
        <v>0</v>
      </c>
      <c r="P45" s="55" t="n">
        <f aca="false">IF($B45="",0,SUMPRODUCT((Lançamentos!$D$5:$D$504=$B45)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45,Lançamentos!$I$5:$I$504,"&gt;="&amp;P$41,Lançamentos!$I$5:$I$504,"&lt;"&amp;DATE(YEAR(P$41),MONTH(P$41)+1,1)))</f>
        <v>0</v>
      </c>
      <c r="Q45" s="55" t="n">
        <f aca="false">IF($B45="",0,SUMPRODUCT((Lançamentos!$D$5:$D$504=$B45)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45,Lançamentos!$I$5:$I$504,"&gt;="&amp;Q$41,Lançamentos!$I$5:$I$504,"&lt;"&amp;DATE(YEAR(Q$41),MONTH(Q$41)+1,1)))</f>
        <v>0</v>
      </c>
      <c r="R45" s="55" t="n">
        <f aca="false">IF($B45="",0,SUMPRODUCT((Lançamentos!$D$5:$D$504=$B45)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45,Lançamentos!$I$5:$I$504,"&gt;="&amp;R$41,Lançamentos!$I$5:$I$504,"&lt;"&amp;DATE(YEAR(R$41),MONTH(R$41)+1,1)))</f>
        <v>0</v>
      </c>
      <c r="S45" s="55" t="n">
        <f aca="false">IF($B45="",0,SUMPRODUCT((Lançamentos!$D$5:$D$504=$B45)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45,Lançamentos!$I$5:$I$504,"&gt;="&amp;S$41,Lançamentos!$I$5:$I$504,"&lt;"&amp;DATE(YEAR(S$41),MONTH(S$41)+1,1)))</f>
        <v>0</v>
      </c>
      <c r="T45" s="55" t="n">
        <f aca="false">IF($B45="",0,SUMPRODUCT((Lançamentos!$D$5:$D$504=$B45)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45,Lançamentos!$I$5:$I$504,"&gt;="&amp;T$41,Lançamentos!$I$5:$I$504,"&lt;"&amp;DATE(YEAR(T$41),MONTH(T$41)+1,1)))</f>
        <v>0</v>
      </c>
      <c r="U45" s="55" t="n">
        <f aca="false">IF($B45="",0,SUMPRODUCT((Lançamentos!$D$5:$D$504=$B45)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45,Lançamentos!$I$5:$I$504,"&gt;="&amp;U$41,Lançamentos!$I$5:$I$504,"&lt;"&amp;DATE(YEAR(U$41),MONTH(U$41)+1,1)))</f>
        <v>0</v>
      </c>
      <c r="V45" s="55" t="n">
        <f aca="false">IF($B45="",0,SUMPRODUCT((Lançamentos!$D$5:$D$504=$B45)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45,Lançamentos!$I$5:$I$504,"&gt;="&amp;V$41,Lançamentos!$I$5:$I$504,"&lt;"&amp;DATE(YEAR(V$41),MONTH(V$41)+1,1)))</f>
        <v>0</v>
      </c>
      <c r="W45" s="55" t="n">
        <f aca="false">IF($B45="",0,SUMPRODUCT((Lançamentos!$D$5:$D$504=$B45)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45,Lançamentos!$I$5:$I$504,"&gt;="&amp;W$41,Lançamentos!$I$5:$I$504,"&lt;"&amp;DATE(YEAR(W$41),MONTH(W$41)+1,1)))</f>
        <v>0</v>
      </c>
      <c r="X45" s="55" t="n">
        <f aca="false">IF($B45="",0,SUMPRODUCT((Lançamentos!$D$5:$D$504=$B45)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45,Lançamentos!$I$5:$I$504,"&gt;="&amp;X$41,Lançamentos!$I$5:$I$504,"&lt;"&amp;DATE(YEAR(X$41),MONTH(X$41)+1,1)))</f>
        <v>0</v>
      </c>
      <c r="Y45" s="55" t="n">
        <f aca="false">IF($B45="",0,SUMPRODUCT((Lançamentos!$D$5:$D$504=$B45)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45,Lançamentos!$I$5:$I$504,"&gt;="&amp;Y$41,Lançamentos!$I$5:$I$504,"&lt;"&amp;DATE(YEAR(Y$41),MONTH(Y$41)+1,1)))</f>
        <v>0</v>
      </c>
      <c r="Z45" s="55" t="n">
        <f aca="false">IF($B45="",0,SUMPRODUCT((Lançamentos!$D$5:$D$504=$B45)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45,Lançamentos!$I$5:$I$504,"&gt;="&amp;Z$41,Lançamentos!$I$5:$I$504,"&lt;"&amp;DATE(YEAR(Z$41),MONTH(Z$41)+1,1)))</f>
        <v>0</v>
      </c>
      <c r="AA45" s="55" t="n">
        <f aca="false">IF($B45="",0,SUMPRODUCT((Lançamentos!$D$5:$D$504=$B45)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45,Lançamentos!$I$5:$I$504,"&gt;="&amp;AA$41,Lançamentos!$I$5:$I$504,"&lt;"&amp;DATE(YEAR(AA$41),MONTH(AA$41)+1,1)))</f>
        <v>0</v>
      </c>
    </row>
    <row r="46" customFormat="false" ht="15" hidden="false" customHeight="false" outlineLevel="0" collapsed="false">
      <c r="B46" s="35" t="str">
        <f aca="false">IF(Cadastros!A8="","",Cadastros!A8)</f>
        <v>Comissões e Repasses</v>
      </c>
      <c r="C46" s="72" t="n">
        <f aca="false">SUMIFS($D46:$AA46,$D$41:$AA$41,"&gt;="&amp;DATE(YEAR($C$6),MONTH($C$6),1),$D$41:$AA$41,"&lt;="&amp;$E$6)</f>
        <v>0</v>
      </c>
      <c r="D46" s="73" t="n">
        <f aca="false">IF($B46="",0,SUMPRODUCT((Lançamentos!$D$5:$D$504=$B46)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46,Lançamentos!$I$5:$I$504,"&gt;="&amp;D$41,Lançamentos!$I$5:$I$504,"&lt;"&amp;DATE(YEAR(D$41),MONTH(D$41)+1,1)))</f>
        <v>0</v>
      </c>
      <c r="E46" s="73" t="n">
        <f aca="false">IF($B46="",0,SUMPRODUCT((Lançamentos!$D$5:$D$504=$B46)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46,Lançamentos!$I$5:$I$504,"&gt;="&amp;E$41,Lançamentos!$I$5:$I$504,"&lt;"&amp;DATE(YEAR(E$41),MONTH(E$41)+1,1)))</f>
        <v>0</v>
      </c>
      <c r="F46" s="73" t="n">
        <f aca="false">IF($B46="",0,SUMPRODUCT((Lançamentos!$D$5:$D$504=$B46)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46,Lançamentos!$I$5:$I$504,"&gt;="&amp;F$41,Lançamentos!$I$5:$I$504,"&lt;"&amp;DATE(YEAR(F$41),MONTH(F$41)+1,1)))</f>
        <v>0</v>
      </c>
      <c r="G46" s="73" t="n">
        <f aca="false">IF($B46="",0,SUMPRODUCT((Lançamentos!$D$5:$D$504=$B46)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46,Lançamentos!$I$5:$I$504,"&gt;="&amp;G$41,Lançamentos!$I$5:$I$504,"&lt;"&amp;DATE(YEAR(G$41),MONTH(G$41)+1,1)))</f>
        <v>0</v>
      </c>
      <c r="H46" s="73" t="n">
        <f aca="false">IF($B46="",0,SUMPRODUCT((Lançamentos!$D$5:$D$504=$B46)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46,Lançamentos!$I$5:$I$504,"&gt;="&amp;H$41,Lançamentos!$I$5:$I$504,"&lt;"&amp;DATE(YEAR(H$41),MONTH(H$41)+1,1)))</f>
        <v>0</v>
      </c>
      <c r="I46" s="73" t="n">
        <f aca="false">IF($B46="",0,SUMPRODUCT((Lançamentos!$D$5:$D$504=$B46)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46,Lançamentos!$I$5:$I$504,"&gt;="&amp;I$41,Lançamentos!$I$5:$I$504,"&lt;"&amp;DATE(YEAR(I$41),MONTH(I$41)+1,1)))</f>
        <v>0</v>
      </c>
      <c r="J46" s="73" t="n">
        <f aca="false">IF($B46="",0,SUMPRODUCT((Lançamentos!$D$5:$D$504=$B46)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46,Lançamentos!$I$5:$I$504,"&gt;="&amp;J$41,Lançamentos!$I$5:$I$504,"&lt;"&amp;DATE(YEAR(J$41),MONTH(J$41)+1,1)))</f>
        <v>0</v>
      </c>
      <c r="K46" s="73" t="n">
        <f aca="false">IF($B46="",0,SUMPRODUCT((Lançamentos!$D$5:$D$504=$B46)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46,Lançamentos!$I$5:$I$504,"&gt;="&amp;K$41,Lançamentos!$I$5:$I$504,"&lt;"&amp;DATE(YEAR(K$41),MONTH(K$41)+1,1)))</f>
        <v>0</v>
      </c>
      <c r="L46" s="73" t="n">
        <f aca="false">IF($B46="",0,SUMPRODUCT((Lançamentos!$D$5:$D$504=$B46)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46,Lançamentos!$I$5:$I$504,"&gt;="&amp;L$41,Lançamentos!$I$5:$I$504,"&lt;"&amp;DATE(YEAR(L$41),MONTH(L$41)+1,1)))</f>
        <v>0</v>
      </c>
      <c r="M46" s="73" t="n">
        <f aca="false">IF($B46="",0,SUMPRODUCT((Lançamentos!$D$5:$D$504=$B46)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46,Lançamentos!$I$5:$I$504,"&gt;="&amp;M$41,Lançamentos!$I$5:$I$504,"&lt;"&amp;DATE(YEAR(M$41),MONTH(M$41)+1,1)))</f>
        <v>0</v>
      </c>
      <c r="N46" s="73" t="n">
        <f aca="false">IF($B46="",0,SUMPRODUCT((Lançamentos!$D$5:$D$504=$B46)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46,Lançamentos!$I$5:$I$504,"&gt;="&amp;N$41,Lançamentos!$I$5:$I$504,"&lt;"&amp;DATE(YEAR(N$41),MONTH(N$41)+1,1)))</f>
        <v>0</v>
      </c>
      <c r="O46" s="73" t="n">
        <f aca="false">IF($B46="",0,SUMPRODUCT((Lançamentos!$D$5:$D$504=$B46)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46,Lançamentos!$I$5:$I$504,"&gt;="&amp;O$41,Lançamentos!$I$5:$I$504,"&lt;"&amp;DATE(YEAR(O$41),MONTH(O$41)+1,1)))</f>
        <v>0</v>
      </c>
      <c r="P46" s="73" t="n">
        <f aca="false">IF($B46="",0,SUMPRODUCT((Lançamentos!$D$5:$D$504=$B46)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46,Lançamentos!$I$5:$I$504,"&gt;="&amp;P$41,Lançamentos!$I$5:$I$504,"&lt;"&amp;DATE(YEAR(P$41),MONTH(P$41)+1,1)))</f>
        <v>0</v>
      </c>
      <c r="Q46" s="73" t="n">
        <f aca="false">IF($B46="",0,SUMPRODUCT((Lançamentos!$D$5:$D$504=$B46)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46,Lançamentos!$I$5:$I$504,"&gt;="&amp;Q$41,Lançamentos!$I$5:$I$504,"&lt;"&amp;DATE(YEAR(Q$41),MONTH(Q$41)+1,1)))</f>
        <v>0</v>
      </c>
      <c r="R46" s="73" t="n">
        <f aca="false">IF($B46="",0,SUMPRODUCT((Lançamentos!$D$5:$D$504=$B46)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46,Lançamentos!$I$5:$I$504,"&gt;="&amp;R$41,Lançamentos!$I$5:$I$504,"&lt;"&amp;DATE(YEAR(R$41),MONTH(R$41)+1,1)))</f>
        <v>0</v>
      </c>
      <c r="S46" s="73" t="n">
        <f aca="false">IF($B46="",0,SUMPRODUCT((Lançamentos!$D$5:$D$504=$B46)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46,Lançamentos!$I$5:$I$504,"&gt;="&amp;S$41,Lançamentos!$I$5:$I$504,"&lt;"&amp;DATE(YEAR(S$41),MONTH(S$41)+1,1)))</f>
        <v>0</v>
      </c>
      <c r="T46" s="73" t="n">
        <f aca="false">IF($B46="",0,SUMPRODUCT((Lançamentos!$D$5:$D$504=$B46)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46,Lançamentos!$I$5:$I$504,"&gt;="&amp;T$41,Lançamentos!$I$5:$I$504,"&lt;"&amp;DATE(YEAR(T$41),MONTH(T$41)+1,1)))</f>
        <v>0</v>
      </c>
      <c r="U46" s="73" t="n">
        <f aca="false">IF($B46="",0,SUMPRODUCT((Lançamentos!$D$5:$D$504=$B46)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46,Lançamentos!$I$5:$I$504,"&gt;="&amp;U$41,Lançamentos!$I$5:$I$504,"&lt;"&amp;DATE(YEAR(U$41),MONTH(U$41)+1,1)))</f>
        <v>0</v>
      </c>
      <c r="V46" s="73" t="n">
        <f aca="false">IF($B46="",0,SUMPRODUCT((Lançamentos!$D$5:$D$504=$B46)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46,Lançamentos!$I$5:$I$504,"&gt;="&amp;V$41,Lançamentos!$I$5:$I$504,"&lt;"&amp;DATE(YEAR(V$41),MONTH(V$41)+1,1)))</f>
        <v>0</v>
      </c>
      <c r="W46" s="73" t="n">
        <f aca="false">IF($B46="",0,SUMPRODUCT((Lançamentos!$D$5:$D$504=$B46)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46,Lançamentos!$I$5:$I$504,"&gt;="&amp;W$41,Lançamentos!$I$5:$I$504,"&lt;"&amp;DATE(YEAR(W$41),MONTH(W$41)+1,1)))</f>
        <v>0</v>
      </c>
      <c r="X46" s="73" t="n">
        <f aca="false">IF($B46="",0,SUMPRODUCT((Lançamentos!$D$5:$D$504=$B46)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46,Lançamentos!$I$5:$I$504,"&gt;="&amp;X$41,Lançamentos!$I$5:$I$504,"&lt;"&amp;DATE(YEAR(X$41),MONTH(X$41)+1,1)))</f>
        <v>0</v>
      </c>
      <c r="Y46" s="73" t="n">
        <f aca="false">IF($B46="",0,SUMPRODUCT((Lançamentos!$D$5:$D$504=$B46)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46,Lançamentos!$I$5:$I$504,"&gt;="&amp;Y$41,Lançamentos!$I$5:$I$504,"&lt;"&amp;DATE(YEAR(Y$41),MONTH(Y$41)+1,1)))</f>
        <v>0</v>
      </c>
      <c r="Z46" s="73" t="n">
        <f aca="false">IF($B46="",0,SUMPRODUCT((Lançamentos!$D$5:$D$504=$B46)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46,Lançamentos!$I$5:$I$504,"&gt;="&amp;Z$41,Lançamentos!$I$5:$I$504,"&lt;"&amp;DATE(YEAR(Z$41),MONTH(Z$41)+1,1)))</f>
        <v>0</v>
      </c>
      <c r="AA46" s="73" t="n">
        <f aca="false">IF($B46="",0,SUMPRODUCT((Lançamentos!$D$5:$D$504=$B46)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46,Lançamentos!$I$5:$I$504,"&gt;="&amp;AA$41,Lançamentos!$I$5:$I$504,"&lt;"&amp;DATE(YEAR(AA$41),MONTH(AA$41)+1,1)))</f>
        <v>0</v>
      </c>
    </row>
    <row r="47" customFormat="false" ht="15" hidden="false" customHeight="false" outlineLevel="0" collapsed="false">
      <c r="B47" s="38" t="str">
        <f aca="false">IF(Cadastros!A9="","",Cadastros!A9)</f>
        <v>Despesas Comerciais e Marketing</v>
      </c>
      <c r="C47" s="74" t="n">
        <f aca="false">SUMIFS($D47:$AA47,$D$41:$AA$41,"&gt;="&amp;DATE(YEAR($C$6),MONTH($C$6),1),$D$41:$AA$41,"&lt;="&amp;$E$6)</f>
        <v>0</v>
      </c>
      <c r="D47" s="55" t="n">
        <f aca="false">IF($B47="",0,SUMPRODUCT((Lançamentos!$D$5:$D$504=$B47)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47,Lançamentos!$I$5:$I$504,"&gt;="&amp;D$41,Lançamentos!$I$5:$I$504,"&lt;"&amp;DATE(YEAR(D$41),MONTH(D$41)+1,1)))</f>
        <v>0</v>
      </c>
      <c r="E47" s="55" t="n">
        <f aca="false">IF($B47="",0,SUMPRODUCT((Lançamentos!$D$5:$D$504=$B47)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47,Lançamentos!$I$5:$I$504,"&gt;="&amp;E$41,Lançamentos!$I$5:$I$504,"&lt;"&amp;DATE(YEAR(E$41),MONTH(E$41)+1,1)))</f>
        <v>0</v>
      </c>
      <c r="F47" s="55" t="n">
        <f aca="false">IF($B47="",0,SUMPRODUCT((Lançamentos!$D$5:$D$504=$B47)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47,Lançamentos!$I$5:$I$504,"&gt;="&amp;F$41,Lançamentos!$I$5:$I$504,"&lt;"&amp;DATE(YEAR(F$41),MONTH(F$41)+1,1)))</f>
        <v>0</v>
      </c>
      <c r="G47" s="55" t="n">
        <f aca="false">IF($B47="",0,SUMPRODUCT((Lançamentos!$D$5:$D$504=$B47)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47,Lançamentos!$I$5:$I$504,"&gt;="&amp;G$41,Lançamentos!$I$5:$I$504,"&lt;"&amp;DATE(YEAR(G$41),MONTH(G$41)+1,1)))</f>
        <v>0</v>
      </c>
      <c r="H47" s="55" t="n">
        <f aca="false">IF($B47="",0,SUMPRODUCT((Lançamentos!$D$5:$D$504=$B47)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47,Lançamentos!$I$5:$I$504,"&gt;="&amp;H$41,Lançamentos!$I$5:$I$504,"&lt;"&amp;DATE(YEAR(H$41),MONTH(H$41)+1,1)))</f>
        <v>0</v>
      </c>
      <c r="I47" s="55" t="n">
        <f aca="false">IF($B47="",0,SUMPRODUCT((Lançamentos!$D$5:$D$504=$B47)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47,Lançamentos!$I$5:$I$504,"&gt;="&amp;I$41,Lançamentos!$I$5:$I$504,"&lt;"&amp;DATE(YEAR(I$41),MONTH(I$41)+1,1)))</f>
        <v>0</v>
      </c>
      <c r="J47" s="55" t="n">
        <f aca="false">IF($B47="",0,SUMPRODUCT((Lançamentos!$D$5:$D$504=$B47)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47,Lançamentos!$I$5:$I$504,"&gt;="&amp;J$41,Lançamentos!$I$5:$I$504,"&lt;"&amp;DATE(YEAR(J$41),MONTH(J$41)+1,1)))</f>
        <v>0</v>
      </c>
      <c r="K47" s="55" t="n">
        <f aca="false">IF($B47="",0,SUMPRODUCT((Lançamentos!$D$5:$D$504=$B47)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47,Lançamentos!$I$5:$I$504,"&gt;="&amp;K$41,Lançamentos!$I$5:$I$504,"&lt;"&amp;DATE(YEAR(K$41),MONTH(K$41)+1,1)))</f>
        <v>0</v>
      </c>
      <c r="L47" s="55" t="n">
        <f aca="false">IF($B47="",0,SUMPRODUCT((Lançamentos!$D$5:$D$504=$B47)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47,Lançamentos!$I$5:$I$504,"&gt;="&amp;L$41,Lançamentos!$I$5:$I$504,"&lt;"&amp;DATE(YEAR(L$41),MONTH(L$41)+1,1)))</f>
        <v>0</v>
      </c>
      <c r="M47" s="55" t="n">
        <f aca="false">IF($B47="",0,SUMPRODUCT((Lançamentos!$D$5:$D$504=$B47)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47,Lançamentos!$I$5:$I$504,"&gt;="&amp;M$41,Lançamentos!$I$5:$I$504,"&lt;"&amp;DATE(YEAR(M$41),MONTH(M$41)+1,1)))</f>
        <v>0</v>
      </c>
      <c r="N47" s="55" t="n">
        <f aca="false">IF($B47="",0,SUMPRODUCT((Lançamentos!$D$5:$D$504=$B47)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47,Lançamentos!$I$5:$I$504,"&gt;="&amp;N$41,Lançamentos!$I$5:$I$504,"&lt;"&amp;DATE(YEAR(N$41),MONTH(N$41)+1,1)))</f>
        <v>0</v>
      </c>
      <c r="O47" s="55" t="n">
        <f aca="false">IF($B47="",0,SUMPRODUCT((Lançamentos!$D$5:$D$504=$B47)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47,Lançamentos!$I$5:$I$504,"&gt;="&amp;O$41,Lançamentos!$I$5:$I$504,"&lt;"&amp;DATE(YEAR(O$41),MONTH(O$41)+1,1)))</f>
        <v>0</v>
      </c>
      <c r="P47" s="55" t="n">
        <f aca="false">IF($B47="",0,SUMPRODUCT((Lançamentos!$D$5:$D$504=$B47)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47,Lançamentos!$I$5:$I$504,"&gt;="&amp;P$41,Lançamentos!$I$5:$I$504,"&lt;"&amp;DATE(YEAR(P$41),MONTH(P$41)+1,1)))</f>
        <v>0</v>
      </c>
      <c r="Q47" s="55" t="n">
        <f aca="false">IF($B47="",0,SUMPRODUCT((Lançamentos!$D$5:$D$504=$B47)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47,Lançamentos!$I$5:$I$504,"&gt;="&amp;Q$41,Lançamentos!$I$5:$I$504,"&lt;"&amp;DATE(YEAR(Q$41),MONTH(Q$41)+1,1)))</f>
        <v>0</v>
      </c>
      <c r="R47" s="55" t="n">
        <f aca="false">IF($B47="",0,SUMPRODUCT((Lançamentos!$D$5:$D$504=$B47)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47,Lançamentos!$I$5:$I$504,"&gt;="&amp;R$41,Lançamentos!$I$5:$I$504,"&lt;"&amp;DATE(YEAR(R$41),MONTH(R$41)+1,1)))</f>
        <v>0</v>
      </c>
      <c r="S47" s="55" t="n">
        <f aca="false">IF($B47="",0,SUMPRODUCT((Lançamentos!$D$5:$D$504=$B47)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47,Lançamentos!$I$5:$I$504,"&gt;="&amp;S$41,Lançamentos!$I$5:$I$504,"&lt;"&amp;DATE(YEAR(S$41),MONTH(S$41)+1,1)))</f>
        <v>0</v>
      </c>
      <c r="T47" s="55" t="n">
        <f aca="false">IF($B47="",0,SUMPRODUCT((Lançamentos!$D$5:$D$504=$B47)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47,Lançamentos!$I$5:$I$504,"&gt;="&amp;T$41,Lançamentos!$I$5:$I$504,"&lt;"&amp;DATE(YEAR(T$41),MONTH(T$41)+1,1)))</f>
        <v>0</v>
      </c>
      <c r="U47" s="55" t="n">
        <f aca="false">IF($B47="",0,SUMPRODUCT((Lançamentos!$D$5:$D$504=$B47)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47,Lançamentos!$I$5:$I$504,"&gt;="&amp;U$41,Lançamentos!$I$5:$I$504,"&lt;"&amp;DATE(YEAR(U$41),MONTH(U$41)+1,1)))</f>
        <v>0</v>
      </c>
      <c r="V47" s="55" t="n">
        <f aca="false">IF($B47="",0,SUMPRODUCT((Lançamentos!$D$5:$D$504=$B47)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47,Lançamentos!$I$5:$I$504,"&gt;="&amp;V$41,Lançamentos!$I$5:$I$504,"&lt;"&amp;DATE(YEAR(V$41),MONTH(V$41)+1,1)))</f>
        <v>0</v>
      </c>
      <c r="W47" s="55" t="n">
        <f aca="false">IF($B47="",0,SUMPRODUCT((Lançamentos!$D$5:$D$504=$B47)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47,Lançamentos!$I$5:$I$504,"&gt;="&amp;W$41,Lançamentos!$I$5:$I$504,"&lt;"&amp;DATE(YEAR(W$41),MONTH(W$41)+1,1)))</f>
        <v>0</v>
      </c>
      <c r="X47" s="55" t="n">
        <f aca="false">IF($B47="",0,SUMPRODUCT((Lançamentos!$D$5:$D$504=$B47)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47,Lançamentos!$I$5:$I$504,"&gt;="&amp;X$41,Lançamentos!$I$5:$I$504,"&lt;"&amp;DATE(YEAR(X$41),MONTH(X$41)+1,1)))</f>
        <v>0</v>
      </c>
      <c r="Y47" s="55" t="n">
        <f aca="false">IF($B47="",0,SUMPRODUCT((Lançamentos!$D$5:$D$504=$B47)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47,Lançamentos!$I$5:$I$504,"&gt;="&amp;Y$41,Lançamentos!$I$5:$I$504,"&lt;"&amp;DATE(YEAR(Y$41),MONTH(Y$41)+1,1)))</f>
        <v>0</v>
      </c>
      <c r="Z47" s="55" t="n">
        <f aca="false">IF($B47="",0,SUMPRODUCT((Lançamentos!$D$5:$D$504=$B47)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47,Lançamentos!$I$5:$I$504,"&gt;="&amp;Z$41,Lançamentos!$I$5:$I$504,"&lt;"&amp;DATE(YEAR(Z$41),MONTH(Z$41)+1,1)))</f>
        <v>0</v>
      </c>
      <c r="AA47" s="55" t="n">
        <f aca="false">IF($B47="",0,SUMPRODUCT((Lançamentos!$D$5:$D$504=$B47)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47,Lançamentos!$I$5:$I$504,"&gt;="&amp;AA$41,Lançamentos!$I$5:$I$504,"&lt;"&amp;DATE(YEAR(AA$41),MONTH(AA$41)+1,1)))</f>
        <v>0</v>
      </c>
    </row>
    <row r="48" customFormat="false" ht="15" hidden="false" customHeight="false" outlineLevel="0" collapsed="false">
      <c r="B48" s="35" t="str">
        <f aca="false">IF(Cadastros!A10="","",Cadastros!A10)</f>
        <v>Tecnologia e Software</v>
      </c>
      <c r="C48" s="72" t="n">
        <f aca="false">SUMIFS($D48:$AA48,$D$41:$AA$41,"&gt;="&amp;DATE(YEAR($C$6),MONTH($C$6),1),$D$41:$AA$41,"&lt;="&amp;$E$6)</f>
        <v>0</v>
      </c>
      <c r="D48" s="73" t="n">
        <f aca="false">IF($B48="",0,SUMPRODUCT((Lançamentos!$D$5:$D$504=$B48)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48,Lançamentos!$I$5:$I$504,"&gt;="&amp;D$41,Lançamentos!$I$5:$I$504,"&lt;"&amp;DATE(YEAR(D$41),MONTH(D$41)+1,1)))</f>
        <v>0</v>
      </c>
      <c r="E48" s="73" t="n">
        <f aca="false">IF($B48="",0,SUMPRODUCT((Lançamentos!$D$5:$D$504=$B48)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48,Lançamentos!$I$5:$I$504,"&gt;="&amp;E$41,Lançamentos!$I$5:$I$504,"&lt;"&amp;DATE(YEAR(E$41),MONTH(E$41)+1,1)))</f>
        <v>0</v>
      </c>
      <c r="F48" s="73" t="n">
        <f aca="false">IF($B48="",0,SUMPRODUCT((Lançamentos!$D$5:$D$504=$B48)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48,Lançamentos!$I$5:$I$504,"&gt;="&amp;F$41,Lançamentos!$I$5:$I$504,"&lt;"&amp;DATE(YEAR(F$41),MONTH(F$41)+1,1)))</f>
        <v>0</v>
      </c>
      <c r="G48" s="73" t="n">
        <f aca="false">IF($B48="",0,SUMPRODUCT((Lançamentos!$D$5:$D$504=$B48)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48,Lançamentos!$I$5:$I$504,"&gt;="&amp;G$41,Lançamentos!$I$5:$I$504,"&lt;"&amp;DATE(YEAR(G$41),MONTH(G$41)+1,1)))</f>
        <v>0</v>
      </c>
      <c r="H48" s="73" t="n">
        <f aca="false">IF($B48="",0,SUMPRODUCT((Lançamentos!$D$5:$D$504=$B48)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48,Lançamentos!$I$5:$I$504,"&gt;="&amp;H$41,Lançamentos!$I$5:$I$504,"&lt;"&amp;DATE(YEAR(H$41),MONTH(H$41)+1,1)))</f>
        <v>0</v>
      </c>
      <c r="I48" s="73" t="n">
        <f aca="false">IF($B48="",0,SUMPRODUCT((Lançamentos!$D$5:$D$504=$B48)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48,Lançamentos!$I$5:$I$504,"&gt;="&amp;I$41,Lançamentos!$I$5:$I$504,"&lt;"&amp;DATE(YEAR(I$41),MONTH(I$41)+1,1)))</f>
        <v>0</v>
      </c>
      <c r="J48" s="73" t="n">
        <f aca="false">IF($B48="",0,SUMPRODUCT((Lançamentos!$D$5:$D$504=$B48)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48,Lançamentos!$I$5:$I$504,"&gt;="&amp;J$41,Lançamentos!$I$5:$I$504,"&lt;"&amp;DATE(YEAR(J$41),MONTH(J$41)+1,1)))</f>
        <v>0</v>
      </c>
      <c r="K48" s="73" t="n">
        <f aca="false">IF($B48="",0,SUMPRODUCT((Lançamentos!$D$5:$D$504=$B48)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48,Lançamentos!$I$5:$I$504,"&gt;="&amp;K$41,Lançamentos!$I$5:$I$504,"&lt;"&amp;DATE(YEAR(K$41),MONTH(K$41)+1,1)))</f>
        <v>0</v>
      </c>
      <c r="L48" s="73" t="n">
        <f aca="false">IF($B48="",0,SUMPRODUCT((Lançamentos!$D$5:$D$504=$B48)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48,Lançamentos!$I$5:$I$504,"&gt;="&amp;L$41,Lançamentos!$I$5:$I$504,"&lt;"&amp;DATE(YEAR(L$41),MONTH(L$41)+1,1)))</f>
        <v>0</v>
      </c>
      <c r="M48" s="73" t="n">
        <f aca="false">IF($B48="",0,SUMPRODUCT((Lançamentos!$D$5:$D$504=$B48)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48,Lançamentos!$I$5:$I$504,"&gt;="&amp;M$41,Lançamentos!$I$5:$I$504,"&lt;"&amp;DATE(YEAR(M$41),MONTH(M$41)+1,1)))</f>
        <v>0</v>
      </c>
      <c r="N48" s="73" t="n">
        <f aca="false">IF($B48="",0,SUMPRODUCT((Lançamentos!$D$5:$D$504=$B48)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48,Lançamentos!$I$5:$I$504,"&gt;="&amp;N$41,Lançamentos!$I$5:$I$504,"&lt;"&amp;DATE(YEAR(N$41),MONTH(N$41)+1,1)))</f>
        <v>0</v>
      </c>
      <c r="O48" s="73" t="n">
        <f aca="false">IF($B48="",0,SUMPRODUCT((Lançamentos!$D$5:$D$504=$B48)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48,Lançamentos!$I$5:$I$504,"&gt;="&amp;O$41,Lançamentos!$I$5:$I$504,"&lt;"&amp;DATE(YEAR(O$41),MONTH(O$41)+1,1)))</f>
        <v>0</v>
      </c>
      <c r="P48" s="73" t="n">
        <f aca="false">IF($B48="",0,SUMPRODUCT((Lançamentos!$D$5:$D$504=$B48)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48,Lançamentos!$I$5:$I$504,"&gt;="&amp;P$41,Lançamentos!$I$5:$I$504,"&lt;"&amp;DATE(YEAR(P$41),MONTH(P$41)+1,1)))</f>
        <v>0</v>
      </c>
      <c r="Q48" s="73" t="n">
        <f aca="false">IF($B48="",0,SUMPRODUCT((Lançamentos!$D$5:$D$504=$B48)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48,Lançamentos!$I$5:$I$504,"&gt;="&amp;Q$41,Lançamentos!$I$5:$I$504,"&lt;"&amp;DATE(YEAR(Q$41),MONTH(Q$41)+1,1)))</f>
        <v>0</v>
      </c>
      <c r="R48" s="73" t="n">
        <f aca="false">IF($B48="",0,SUMPRODUCT((Lançamentos!$D$5:$D$504=$B48)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48,Lançamentos!$I$5:$I$504,"&gt;="&amp;R$41,Lançamentos!$I$5:$I$504,"&lt;"&amp;DATE(YEAR(R$41),MONTH(R$41)+1,1)))</f>
        <v>0</v>
      </c>
      <c r="S48" s="73" t="n">
        <f aca="false">IF($B48="",0,SUMPRODUCT((Lançamentos!$D$5:$D$504=$B48)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48,Lançamentos!$I$5:$I$504,"&gt;="&amp;S$41,Lançamentos!$I$5:$I$504,"&lt;"&amp;DATE(YEAR(S$41),MONTH(S$41)+1,1)))</f>
        <v>0</v>
      </c>
      <c r="T48" s="73" t="n">
        <f aca="false">IF($B48="",0,SUMPRODUCT((Lançamentos!$D$5:$D$504=$B48)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48,Lançamentos!$I$5:$I$504,"&gt;="&amp;T$41,Lançamentos!$I$5:$I$504,"&lt;"&amp;DATE(YEAR(T$41),MONTH(T$41)+1,1)))</f>
        <v>0</v>
      </c>
      <c r="U48" s="73" t="n">
        <f aca="false">IF($B48="",0,SUMPRODUCT((Lançamentos!$D$5:$D$504=$B48)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48,Lançamentos!$I$5:$I$504,"&gt;="&amp;U$41,Lançamentos!$I$5:$I$504,"&lt;"&amp;DATE(YEAR(U$41),MONTH(U$41)+1,1)))</f>
        <v>0</v>
      </c>
      <c r="V48" s="73" t="n">
        <f aca="false">IF($B48="",0,SUMPRODUCT((Lançamentos!$D$5:$D$504=$B48)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48,Lançamentos!$I$5:$I$504,"&gt;="&amp;V$41,Lançamentos!$I$5:$I$504,"&lt;"&amp;DATE(YEAR(V$41),MONTH(V$41)+1,1)))</f>
        <v>0</v>
      </c>
      <c r="W48" s="73" t="n">
        <f aca="false">IF($B48="",0,SUMPRODUCT((Lançamentos!$D$5:$D$504=$B48)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48,Lançamentos!$I$5:$I$504,"&gt;="&amp;W$41,Lançamentos!$I$5:$I$504,"&lt;"&amp;DATE(YEAR(W$41),MONTH(W$41)+1,1)))</f>
        <v>0</v>
      </c>
      <c r="X48" s="73" t="n">
        <f aca="false">IF($B48="",0,SUMPRODUCT((Lançamentos!$D$5:$D$504=$B48)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48,Lançamentos!$I$5:$I$504,"&gt;="&amp;X$41,Lançamentos!$I$5:$I$504,"&lt;"&amp;DATE(YEAR(X$41),MONTH(X$41)+1,1)))</f>
        <v>0</v>
      </c>
      <c r="Y48" s="73" t="n">
        <f aca="false">IF($B48="",0,SUMPRODUCT((Lançamentos!$D$5:$D$504=$B48)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48,Lançamentos!$I$5:$I$504,"&gt;="&amp;Y$41,Lançamentos!$I$5:$I$504,"&lt;"&amp;DATE(YEAR(Y$41),MONTH(Y$41)+1,1)))</f>
        <v>0</v>
      </c>
      <c r="Z48" s="73" t="n">
        <f aca="false">IF($B48="",0,SUMPRODUCT((Lançamentos!$D$5:$D$504=$B48)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48,Lançamentos!$I$5:$I$504,"&gt;="&amp;Z$41,Lançamentos!$I$5:$I$504,"&lt;"&amp;DATE(YEAR(Z$41),MONTH(Z$41)+1,1)))</f>
        <v>0</v>
      </c>
      <c r="AA48" s="73" t="n">
        <f aca="false">IF($B48="",0,SUMPRODUCT((Lançamentos!$D$5:$D$504=$B48)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48,Lançamentos!$I$5:$I$504,"&gt;="&amp;AA$41,Lançamentos!$I$5:$I$504,"&lt;"&amp;DATE(YEAR(AA$41),MONTH(AA$41)+1,1)))</f>
        <v>0</v>
      </c>
    </row>
    <row r="49" customFormat="false" ht="15" hidden="false" customHeight="false" outlineLevel="0" collapsed="false">
      <c r="B49" s="38" t="str">
        <f aca="false">IF(Cadastros!A11="","",Cadastros!A11)</f>
        <v>Serviços de Terceiros</v>
      </c>
      <c r="C49" s="74" t="n">
        <f aca="false">SUMIFS($D49:$AA49,$D$41:$AA$41,"&gt;="&amp;DATE(YEAR($C$6),MONTH($C$6),1),$D$41:$AA$41,"&lt;="&amp;$E$6)</f>
        <v>0</v>
      </c>
      <c r="D49" s="55" t="n">
        <f aca="false">IF($B49="",0,SUMPRODUCT((Lançamentos!$D$5:$D$504=$B49)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49,Lançamentos!$I$5:$I$504,"&gt;="&amp;D$41,Lançamentos!$I$5:$I$504,"&lt;"&amp;DATE(YEAR(D$41),MONTH(D$41)+1,1)))</f>
        <v>0</v>
      </c>
      <c r="E49" s="55" t="n">
        <f aca="false">IF($B49="",0,SUMPRODUCT((Lançamentos!$D$5:$D$504=$B49)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49,Lançamentos!$I$5:$I$504,"&gt;="&amp;E$41,Lançamentos!$I$5:$I$504,"&lt;"&amp;DATE(YEAR(E$41),MONTH(E$41)+1,1)))</f>
        <v>0</v>
      </c>
      <c r="F49" s="55" t="n">
        <f aca="false">IF($B49="",0,SUMPRODUCT((Lançamentos!$D$5:$D$504=$B49)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49,Lançamentos!$I$5:$I$504,"&gt;="&amp;F$41,Lançamentos!$I$5:$I$504,"&lt;"&amp;DATE(YEAR(F$41),MONTH(F$41)+1,1)))</f>
        <v>0</v>
      </c>
      <c r="G49" s="55" t="n">
        <f aca="false">IF($B49="",0,SUMPRODUCT((Lançamentos!$D$5:$D$504=$B49)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49,Lançamentos!$I$5:$I$504,"&gt;="&amp;G$41,Lançamentos!$I$5:$I$504,"&lt;"&amp;DATE(YEAR(G$41),MONTH(G$41)+1,1)))</f>
        <v>0</v>
      </c>
      <c r="H49" s="55" t="n">
        <f aca="false">IF($B49="",0,SUMPRODUCT((Lançamentos!$D$5:$D$504=$B49)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49,Lançamentos!$I$5:$I$504,"&gt;="&amp;H$41,Lançamentos!$I$5:$I$504,"&lt;"&amp;DATE(YEAR(H$41),MONTH(H$41)+1,1)))</f>
        <v>0</v>
      </c>
      <c r="I49" s="55" t="n">
        <f aca="false">IF($B49="",0,SUMPRODUCT((Lançamentos!$D$5:$D$504=$B49)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49,Lançamentos!$I$5:$I$504,"&gt;="&amp;I$41,Lançamentos!$I$5:$I$504,"&lt;"&amp;DATE(YEAR(I$41),MONTH(I$41)+1,1)))</f>
        <v>0</v>
      </c>
      <c r="J49" s="55" t="n">
        <f aca="false">IF($B49="",0,SUMPRODUCT((Lançamentos!$D$5:$D$504=$B49)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49,Lançamentos!$I$5:$I$504,"&gt;="&amp;J$41,Lançamentos!$I$5:$I$504,"&lt;"&amp;DATE(YEAR(J$41),MONTH(J$41)+1,1)))</f>
        <v>0</v>
      </c>
      <c r="K49" s="55" t="n">
        <f aca="false">IF($B49="",0,SUMPRODUCT((Lançamentos!$D$5:$D$504=$B49)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49,Lançamentos!$I$5:$I$504,"&gt;="&amp;K$41,Lançamentos!$I$5:$I$504,"&lt;"&amp;DATE(YEAR(K$41),MONTH(K$41)+1,1)))</f>
        <v>0</v>
      </c>
      <c r="L49" s="55" t="n">
        <f aca="false">IF($B49="",0,SUMPRODUCT((Lançamentos!$D$5:$D$504=$B49)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49,Lançamentos!$I$5:$I$504,"&gt;="&amp;L$41,Lançamentos!$I$5:$I$504,"&lt;"&amp;DATE(YEAR(L$41),MONTH(L$41)+1,1)))</f>
        <v>0</v>
      </c>
      <c r="M49" s="55" t="n">
        <f aca="false">IF($B49="",0,SUMPRODUCT((Lançamentos!$D$5:$D$504=$B49)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49,Lançamentos!$I$5:$I$504,"&gt;="&amp;M$41,Lançamentos!$I$5:$I$504,"&lt;"&amp;DATE(YEAR(M$41),MONTH(M$41)+1,1)))</f>
        <v>0</v>
      </c>
      <c r="N49" s="55" t="n">
        <f aca="false">IF($B49="",0,SUMPRODUCT((Lançamentos!$D$5:$D$504=$B49)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49,Lançamentos!$I$5:$I$504,"&gt;="&amp;N$41,Lançamentos!$I$5:$I$504,"&lt;"&amp;DATE(YEAR(N$41),MONTH(N$41)+1,1)))</f>
        <v>0</v>
      </c>
      <c r="O49" s="55" t="n">
        <f aca="false">IF($B49="",0,SUMPRODUCT((Lançamentos!$D$5:$D$504=$B49)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49,Lançamentos!$I$5:$I$504,"&gt;="&amp;O$41,Lançamentos!$I$5:$I$504,"&lt;"&amp;DATE(YEAR(O$41),MONTH(O$41)+1,1)))</f>
        <v>0</v>
      </c>
      <c r="P49" s="55" t="n">
        <f aca="false">IF($B49="",0,SUMPRODUCT((Lançamentos!$D$5:$D$504=$B49)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49,Lançamentos!$I$5:$I$504,"&gt;="&amp;P$41,Lançamentos!$I$5:$I$504,"&lt;"&amp;DATE(YEAR(P$41),MONTH(P$41)+1,1)))</f>
        <v>0</v>
      </c>
      <c r="Q49" s="55" t="n">
        <f aca="false">IF($B49="",0,SUMPRODUCT((Lançamentos!$D$5:$D$504=$B49)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49,Lançamentos!$I$5:$I$504,"&gt;="&amp;Q$41,Lançamentos!$I$5:$I$504,"&lt;"&amp;DATE(YEAR(Q$41),MONTH(Q$41)+1,1)))</f>
        <v>0</v>
      </c>
      <c r="R49" s="55" t="n">
        <f aca="false">IF($B49="",0,SUMPRODUCT((Lançamentos!$D$5:$D$504=$B49)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49,Lançamentos!$I$5:$I$504,"&gt;="&amp;R$41,Lançamentos!$I$5:$I$504,"&lt;"&amp;DATE(YEAR(R$41),MONTH(R$41)+1,1)))</f>
        <v>0</v>
      </c>
      <c r="S49" s="55" t="n">
        <f aca="false">IF($B49="",0,SUMPRODUCT((Lançamentos!$D$5:$D$504=$B49)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49,Lançamentos!$I$5:$I$504,"&gt;="&amp;S$41,Lançamentos!$I$5:$I$504,"&lt;"&amp;DATE(YEAR(S$41),MONTH(S$41)+1,1)))</f>
        <v>0</v>
      </c>
      <c r="T49" s="55" t="n">
        <f aca="false">IF($B49="",0,SUMPRODUCT((Lançamentos!$D$5:$D$504=$B49)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49,Lançamentos!$I$5:$I$504,"&gt;="&amp;T$41,Lançamentos!$I$5:$I$504,"&lt;"&amp;DATE(YEAR(T$41),MONTH(T$41)+1,1)))</f>
        <v>0</v>
      </c>
      <c r="U49" s="55" t="n">
        <f aca="false">IF($B49="",0,SUMPRODUCT((Lançamentos!$D$5:$D$504=$B49)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49,Lançamentos!$I$5:$I$504,"&gt;="&amp;U$41,Lançamentos!$I$5:$I$504,"&lt;"&amp;DATE(YEAR(U$41),MONTH(U$41)+1,1)))</f>
        <v>0</v>
      </c>
      <c r="V49" s="55" t="n">
        <f aca="false">IF($B49="",0,SUMPRODUCT((Lançamentos!$D$5:$D$504=$B49)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49,Lançamentos!$I$5:$I$504,"&gt;="&amp;V$41,Lançamentos!$I$5:$I$504,"&lt;"&amp;DATE(YEAR(V$41),MONTH(V$41)+1,1)))</f>
        <v>0</v>
      </c>
      <c r="W49" s="55" t="n">
        <f aca="false">IF($B49="",0,SUMPRODUCT((Lançamentos!$D$5:$D$504=$B49)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49,Lançamentos!$I$5:$I$504,"&gt;="&amp;W$41,Lançamentos!$I$5:$I$504,"&lt;"&amp;DATE(YEAR(W$41),MONTH(W$41)+1,1)))</f>
        <v>0</v>
      </c>
      <c r="X49" s="55" t="n">
        <f aca="false">IF($B49="",0,SUMPRODUCT((Lançamentos!$D$5:$D$504=$B49)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49,Lançamentos!$I$5:$I$504,"&gt;="&amp;X$41,Lançamentos!$I$5:$I$504,"&lt;"&amp;DATE(YEAR(X$41),MONTH(X$41)+1,1)))</f>
        <v>0</v>
      </c>
      <c r="Y49" s="55" t="n">
        <f aca="false">IF($B49="",0,SUMPRODUCT((Lançamentos!$D$5:$D$504=$B49)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49,Lançamentos!$I$5:$I$504,"&gt;="&amp;Y$41,Lançamentos!$I$5:$I$504,"&lt;"&amp;DATE(YEAR(Y$41),MONTH(Y$41)+1,1)))</f>
        <v>0</v>
      </c>
      <c r="Z49" s="55" t="n">
        <f aca="false">IF($B49="",0,SUMPRODUCT((Lançamentos!$D$5:$D$504=$B49)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49,Lançamentos!$I$5:$I$504,"&gt;="&amp;Z$41,Lançamentos!$I$5:$I$504,"&lt;"&amp;DATE(YEAR(Z$41),MONTH(Z$41)+1,1)))</f>
        <v>0</v>
      </c>
      <c r="AA49" s="55" t="n">
        <f aca="false">IF($B49="",0,SUMPRODUCT((Lançamentos!$D$5:$D$504=$B49)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49,Lançamentos!$I$5:$I$504,"&gt;="&amp;AA$41,Lançamentos!$I$5:$I$504,"&lt;"&amp;DATE(YEAR(AA$41),MONTH(AA$41)+1,1)))</f>
        <v>0</v>
      </c>
    </row>
    <row r="50" customFormat="false" ht="15" hidden="false" customHeight="false" outlineLevel="0" collapsed="false">
      <c r="B50" s="35" t="str">
        <f aca="false">IF(Cadastros!A12="","",Cadastros!A12)</f>
        <v>Despesas Financeiras</v>
      </c>
      <c r="C50" s="72" t="n">
        <f aca="false">SUMIFS($D50:$AA50,$D$41:$AA$41,"&gt;="&amp;DATE(YEAR($C$6),MONTH($C$6),1),$D$41:$AA$41,"&lt;="&amp;$E$6)</f>
        <v>0</v>
      </c>
      <c r="D50" s="73" t="n">
        <f aca="false">IF($B50="",0,SUMPRODUCT((Lançamentos!$D$5:$D$504=$B50)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50,Lançamentos!$I$5:$I$504,"&gt;="&amp;D$41,Lançamentos!$I$5:$I$504,"&lt;"&amp;DATE(YEAR(D$41),MONTH(D$41)+1,1)))</f>
        <v>0</v>
      </c>
      <c r="E50" s="73" t="n">
        <f aca="false">IF($B50="",0,SUMPRODUCT((Lançamentos!$D$5:$D$504=$B50)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50,Lançamentos!$I$5:$I$504,"&gt;="&amp;E$41,Lançamentos!$I$5:$I$504,"&lt;"&amp;DATE(YEAR(E$41),MONTH(E$41)+1,1)))</f>
        <v>0</v>
      </c>
      <c r="F50" s="73" t="n">
        <f aca="false">IF($B50="",0,SUMPRODUCT((Lançamentos!$D$5:$D$504=$B50)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50,Lançamentos!$I$5:$I$504,"&gt;="&amp;F$41,Lançamentos!$I$5:$I$504,"&lt;"&amp;DATE(YEAR(F$41),MONTH(F$41)+1,1)))</f>
        <v>0</v>
      </c>
      <c r="G50" s="73" t="n">
        <f aca="false">IF($B50="",0,SUMPRODUCT((Lançamentos!$D$5:$D$504=$B50)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50,Lançamentos!$I$5:$I$504,"&gt;="&amp;G$41,Lançamentos!$I$5:$I$504,"&lt;"&amp;DATE(YEAR(G$41),MONTH(G$41)+1,1)))</f>
        <v>0</v>
      </c>
      <c r="H50" s="73" t="n">
        <f aca="false">IF($B50="",0,SUMPRODUCT((Lançamentos!$D$5:$D$504=$B50)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50,Lançamentos!$I$5:$I$504,"&gt;="&amp;H$41,Lançamentos!$I$5:$I$504,"&lt;"&amp;DATE(YEAR(H$41),MONTH(H$41)+1,1)))</f>
        <v>0</v>
      </c>
      <c r="I50" s="73" t="n">
        <f aca="false">IF($B50="",0,SUMPRODUCT((Lançamentos!$D$5:$D$504=$B50)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50,Lançamentos!$I$5:$I$504,"&gt;="&amp;I$41,Lançamentos!$I$5:$I$504,"&lt;"&amp;DATE(YEAR(I$41),MONTH(I$41)+1,1)))</f>
        <v>0</v>
      </c>
      <c r="J50" s="73" t="n">
        <f aca="false">IF($B50="",0,SUMPRODUCT((Lançamentos!$D$5:$D$504=$B50)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50,Lançamentos!$I$5:$I$504,"&gt;="&amp;J$41,Lançamentos!$I$5:$I$504,"&lt;"&amp;DATE(YEAR(J$41),MONTH(J$41)+1,1)))</f>
        <v>0</v>
      </c>
      <c r="K50" s="73" t="n">
        <f aca="false">IF($B50="",0,SUMPRODUCT((Lançamentos!$D$5:$D$504=$B50)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50,Lançamentos!$I$5:$I$504,"&gt;="&amp;K$41,Lançamentos!$I$5:$I$504,"&lt;"&amp;DATE(YEAR(K$41),MONTH(K$41)+1,1)))</f>
        <v>0</v>
      </c>
      <c r="L50" s="73" t="n">
        <f aca="false">IF($B50="",0,SUMPRODUCT((Lançamentos!$D$5:$D$504=$B50)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50,Lançamentos!$I$5:$I$504,"&gt;="&amp;L$41,Lançamentos!$I$5:$I$504,"&lt;"&amp;DATE(YEAR(L$41),MONTH(L$41)+1,1)))</f>
        <v>0</v>
      </c>
      <c r="M50" s="73" t="n">
        <f aca="false">IF($B50="",0,SUMPRODUCT((Lançamentos!$D$5:$D$504=$B50)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50,Lançamentos!$I$5:$I$504,"&gt;="&amp;M$41,Lançamentos!$I$5:$I$504,"&lt;"&amp;DATE(YEAR(M$41),MONTH(M$41)+1,1)))</f>
        <v>0</v>
      </c>
      <c r="N50" s="73" t="n">
        <f aca="false">IF($B50="",0,SUMPRODUCT((Lançamentos!$D$5:$D$504=$B50)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50,Lançamentos!$I$5:$I$504,"&gt;="&amp;N$41,Lançamentos!$I$5:$I$504,"&lt;"&amp;DATE(YEAR(N$41),MONTH(N$41)+1,1)))</f>
        <v>0</v>
      </c>
      <c r="O50" s="73" t="n">
        <f aca="false">IF($B50="",0,SUMPRODUCT((Lançamentos!$D$5:$D$504=$B50)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50,Lançamentos!$I$5:$I$504,"&gt;="&amp;O$41,Lançamentos!$I$5:$I$504,"&lt;"&amp;DATE(YEAR(O$41),MONTH(O$41)+1,1)))</f>
        <v>0</v>
      </c>
      <c r="P50" s="73" t="n">
        <f aca="false">IF($B50="",0,SUMPRODUCT((Lançamentos!$D$5:$D$504=$B50)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50,Lançamentos!$I$5:$I$504,"&gt;="&amp;P$41,Lançamentos!$I$5:$I$504,"&lt;"&amp;DATE(YEAR(P$41),MONTH(P$41)+1,1)))</f>
        <v>0</v>
      </c>
      <c r="Q50" s="73" t="n">
        <f aca="false">IF($B50="",0,SUMPRODUCT((Lançamentos!$D$5:$D$504=$B50)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50,Lançamentos!$I$5:$I$504,"&gt;="&amp;Q$41,Lançamentos!$I$5:$I$504,"&lt;"&amp;DATE(YEAR(Q$41),MONTH(Q$41)+1,1)))</f>
        <v>0</v>
      </c>
      <c r="R50" s="73" t="n">
        <f aca="false">IF($B50="",0,SUMPRODUCT((Lançamentos!$D$5:$D$504=$B50)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50,Lançamentos!$I$5:$I$504,"&gt;="&amp;R$41,Lançamentos!$I$5:$I$504,"&lt;"&amp;DATE(YEAR(R$41),MONTH(R$41)+1,1)))</f>
        <v>0</v>
      </c>
      <c r="S50" s="73" t="n">
        <f aca="false">IF($B50="",0,SUMPRODUCT((Lançamentos!$D$5:$D$504=$B50)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50,Lançamentos!$I$5:$I$504,"&gt;="&amp;S$41,Lançamentos!$I$5:$I$504,"&lt;"&amp;DATE(YEAR(S$41),MONTH(S$41)+1,1)))</f>
        <v>0</v>
      </c>
      <c r="T50" s="73" t="n">
        <f aca="false">IF($B50="",0,SUMPRODUCT((Lançamentos!$D$5:$D$504=$B50)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50,Lançamentos!$I$5:$I$504,"&gt;="&amp;T$41,Lançamentos!$I$5:$I$504,"&lt;"&amp;DATE(YEAR(T$41),MONTH(T$41)+1,1)))</f>
        <v>0</v>
      </c>
      <c r="U50" s="73" t="n">
        <f aca="false">IF($B50="",0,SUMPRODUCT((Lançamentos!$D$5:$D$504=$B50)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50,Lançamentos!$I$5:$I$504,"&gt;="&amp;U$41,Lançamentos!$I$5:$I$504,"&lt;"&amp;DATE(YEAR(U$41),MONTH(U$41)+1,1)))</f>
        <v>0</v>
      </c>
      <c r="V50" s="73" t="n">
        <f aca="false">IF($B50="",0,SUMPRODUCT((Lançamentos!$D$5:$D$504=$B50)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50,Lançamentos!$I$5:$I$504,"&gt;="&amp;V$41,Lançamentos!$I$5:$I$504,"&lt;"&amp;DATE(YEAR(V$41),MONTH(V$41)+1,1)))</f>
        <v>0</v>
      </c>
      <c r="W50" s="73" t="n">
        <f aca="false">IF($B50="",0,SUMPRODUCT((Lançamentos!$D$5:$D$504=$B50)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50,Lançamentos!$I$5:$I$504,"&gt;="&amp;W$41,Lançamentos!$I$5:$I$504,"&lt;"&amp;DATE(YEAR(W$41),MONTH(W$41)+1,1)))</f>
        <v>0</v>
      </c>
      <c r="X50" s="73" t="n">
        <f aca="false">IF($B50="",0,SUMPRODUCT((Lançamentos!$D$5:$D$504=$B50)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50,Lançamentos!$I$5:$I$504,"&gt;="&amp;X$41,Lançamentos!$I$5:$I$504,"&lt;"&amp;DATE(YEAR(X$41),MONTH(X$41)+1,1)))</f>
        <v>0</v>
      </c>
      <c r="Y50" s="73" t="n">
        <f aca="false">IF($B50="",0,SUMPRODUCT((Lançamentos!$D$5:$D$504=$B50)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50,Lançamentos!$I$5:$I$504,"&gt;="&amp;Y$41,Lançamentos!$I$5:$I$504,"&lt;"&amp;DATE(YEAR(Y$41),MONTH(Y$41)+1,1)))</f>
        <v>0</v>
      </c>
      <c r="Z50" s="73" t="n">
        <f aca="false">IF($B50="",0,SUMPRODUCT((Lançamentos!$D$5:$D$504=$B50)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50,Lançamentos!$I$5:$I$504,"&gt;="&amp;Z$41,Lançamentos!$I$5:$I$504,"&lt;"&amp;DATE(YEAR(Z$41),MONTH(Z$41)+1,1)))</f>
        <v>0</v>
      </c>
      <c r="AA50" s="73" t="n">
        <f aca="false">IF($B50="",0,SUMPRODUCT((Lançamentos!$D$5:$D$504=$B50)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50,Lançamentos!$I$5:$I$504,"&gt;="&amp;AA$41,Lançamentos!$I$5:$I$504,"&lt;"&amp;DATE(YEAR(AA$41),MONTH(AA$41)+1,1)))</f>
        <v>0</v>
      </c>
    </row>
    <row r="51" customFormat="false" ht="15" hidden="false" customHeight="false" outlineLevel="0" collapsed="false">
      <c r="B51" s="38" t="str">
        <f aca="false">IF(Cadastros!A13="","",Cadastros!A13)</f>
        <v>Veículos e Deslocamento</v>
      </c>
      <c r="C51" s="74" t="n">
        <f aca="false">SUMIFS($D51:$AA51,$D$41:$AA$41,"&gt;="&amp;DATE(YEAR($C$6),MONTH($C$6),1),$D$41:$AA$41,"&lt;="&amp;$E$6)</f>
        <v>0</v>
      </c>
      <c r="D51" s="55" t="n">
        <f aca="false">IF($B51="",0,SUMPRODUCT((Lançamentos!$D$5:$D$504=$B51)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51,Lançamentos!$I$5:$I$504,"&gt;="&amp;D$41,Lançamentos!$I$5:$I$504,"&lt;"&amp;DATE(YEAR(D$41),MONTH(D$41)+1,1)))</f>
        <v>0</v>
      </c>
      <c r="E51" s="55" t="n">
        <f aca="false">IF($B51="",0,SUMPRODUCT((Lançamentos!$D$5:$D$504=$B51)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51,Lançamentos!$I$5:$I$504,"&gt;="&amp;E$41,Lançamentos!$I$5:$I$504,"&lt;"&amp;DATE(YEAR(E$41),MONTH(E$41)+1,1)))</f>
        <v>0</v>
      </c>
      <c r="F51" s="55" t="n">
        <f aca="false">IF($B51="",0,SUMPRODUCT((Lançamentos!$D$5:$D$504=$B51)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51,Lançamentos!$I$5:$I$504,"&gt;="&amp;F$41,Lançamentos!$I$5:$I$504,"&lt;"&amp;DATE(YEAR(F$41),MONTH(F$41)+1,1)))</f>
        <v>0</v>
      </c>
      <c r="G51" s="55" t="n">
        <f aca="false">IF($B51="",0,SUMPRODUCT((Lançamentos!$D$5:$D$504=$B51)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51,Lançamentos!$I$5:$I$504,"&gt;="&amp;G$41,Lançamentos!$I$5:$I$504,"&lt;"&amp;DATE(YEAR(G$41),MONTH(G$41)+1,1)))</f>
        <v>0</v>
      </c>
      <c r="H51" s="55" t="n">
        <f aca="false">IF($B51="",0,SUMPRODUCT((Lançamentos!$D$5:$D$504=$B51)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51,Lançamentos!$I$5:$I$504,"&gt;="&amp;H$41,Lançamentos!$I$5:$I$504,"&lt;"&amp;DATE(YEAR(H$41),MONTH(H$41)+1,1)))</f>
        <v>0</v>
      </c>
      <c r="I51" s="55" t="n">
        <f aca="false">IF($B51="",0,SUMPRODUCT((Lançamentos!$D$5:$D$504=$B51)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51,Lançamentos!$I$5:$I$504,"&gt;="&amp;I$41,Lançamentos!$I$5:$I$504,"&lt;"&amp;DATE(YEAR(I$41),MONTH(I$41)+1,1)))</f>
        <v>0</v>
      </c>
      <c r="J51" s="55" t="n">
        <f aca="false">IF($B51="",0,SUMPRODUCT((Lançamentos!$D$5:$D$504=$B51)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51,Lançamentos!$I$5:$I$504,"&gt;="&amp;J$41,Lançamentos!$I$5:$I$504,"&lt;"&amp;DATE(YEAR(J$41),MONTH(J$41)+1,1)))</f>
        <v>0</v>
      </c>
      <c r="K51" s="55" t="n">
        <f aca="false">IF($B51="",0,SUMPRODUCT((Lançamentos!$D$5:$D$504=$B51)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51,Lançamentos!$I$5:$I$504,"&gt;="&amp;K$41,Lançamentos!$I$5:$I$504,"&lt;"&amp;DATE(YEAR(K$41),MONTH(K$41)+1,1)))</f>
        <v>0</v>
      </c>
      <c r="L51" s="55" t="n">
        <f aca="false">IF($B51="",0,SUMPRODUCT((Lançamentos!$D$5:$D$504=$B51)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51,Lançamentos!$I$5:$I$504,"&gt;="&amp;L$41,Lançamentos!$I$5:$I$504,"&lt;"&amp;DATE(YEAR(L$41),MONTH(L$41)+1,1)))</f>
        <v>0</v>
      </c>
      <c r="M51" s="55" t="n">
        <f aca="false">IF($B51="",0,SUMPRODUCT((Lançamentos!$D$5:$D$504=$B51)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51,Lançamentos!$I$5:$I$504,"&gt;="&amp;M$41,Lançamentos!$I$5:$I$504,"&lt;"&amp;DATE(YEAR(M$41),MONTH(M$41)+1,1)))</f>
        <v>0</v>
      </c>
      <c r="N51" s="55" t="n">
        <f aca="false">IF($B51="",0,SUMPRODUCT((Lançamentos!$D$5:$D$504=$B51)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51,Lançamentos!$I$5:$I$504,"&gt;="&amp;N$41,Lançamentos!$I$5:$I$504,"&lt;"&amp;DATE(YEAR(N$41),MONTH(N$41)+1,1)))</f>
        <v>0</v>
      </c>
      <c r="O51" s="55" t="n">
        <f aca="false">IF($B51="",0,SUMPRODUCT((Lançamentos!$D$5:$D$504=$B51)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51,Lançamentos!$I$5:$I$504,"&gt;="&amp;O$41,Lançamentos!$I$5:$I$504,"&lt;"&amp;DATE(YEAR(O$41),MONTH(O$41)+1,1)))</f>
        <v>0</v>
      </c>
      <c r="P51" s="55" t="n">
        <f aca="false">IF($B51="",0,SUMPRODUCT((Lançamentos!$D$5:$D$504=$B51)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51,Lançamentos!$I$5:$I$504,"&gt;="&amp;P$41,Lançamentos!$I$5:$I$504,"&lt;"&amp;DATE(YEAR(P$41),MONTH(P$41)+1,1)))</f>
        <v>0</v>
      </c>
      <c r="Q51" s="55" t="n">
        <f aca="false">IF($B51="",0,SUMPRODUCT((Lançamentos!$D$5:$D$504=$B51)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51,Lançamentos!$I$5:$I$504,"&gt;="&amp;Q$41,Lançamentos!$I$5:$I$504,"&lt;"&amp;DATE(YEAR(Q$41),MONTH(Q$41)+1,1)))</f>
        <v>0</v>
      </c>
      <c r="R51" s="55" t="n">
        <f aca="false">IF($B51="",0,SUMPRODUCT((Lançamentos!$D$5:$D$504=$B51)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51,Lançamentos!$I$5:$I$504,"&gt;="&amp;R$41,Lançamentos!$I$5:$I$504,"&lt;"&amp;DATE(YEAR(R$41),MONTH(R$41)+1,1)))</f>
        <v>0</v>
      </c>
      <c r="S51" s="55" t="n">
        <f aca="false">IF($B51="",0,SUMPRODUCT((Lançamentos!$D$5:$D$504=$B51)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51,Lançamentos!$I$5:$I$504,"&gt;="&amp;S$41,Lançamentos!$I$5:$I$504,"&lt;"&amp;DATE(YEAR(S$41),MONTH(S$41)+1,1)))</f>
        <v>0</v>
      </c>
      <c r="T51" s="55" t="n">
        <f aca="false">IF($B51="",0,SUMPRODUCT((Lançamentos!$D$5:$D$504=$B51)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51,Lançamentos!$I$5:$I$504,"&gt;="&amp;T$41,Lançamentos!$I$5:$I$504,"&lt;"&amp;DATE(YEAR(T$41),MONTH(T$41)+1,1)))</f>
        <v>0</v>
      </c>
      <c r="U51" s="55" t="n">
        <f aca="false">IF($B51="",0,SUMPRODUCT((Lançamentos!$D$5:$D$504=$B51)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51,Lançamentos!$I$5:$I$504,"&gt;="&amp;U$41,Lançamentos!$I$5:$I$504,"&lt;"&amp;DATE(YEAR(U$41),MONTH(U$41)+1,1)))</f>
        <v>0</v>
      </c>
      <c r="V51" s="55" t="n">
        <f aca="false">IF($B51="",0,SUMPRODUCT((Lançamentos!$D$5:$D$504=$B51)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51,Lançamentos!$I$5:$I$504,"&gt;="&amp;V$41,Lançamentos!$I$5:$I$504,"&lt;"&amp;DATE(YEAR(V$41),MONTH(V$41)+1,1)))</f>
        <v>0</v>
      </c>
      <c r="W51" s="55" t="n">
        <f aca="false">IF($B51="",0,SUMPRODUCT((Lançamentos!$D$5:$D$504=$B51)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51,Lançamentos!$I$5:$I$504,"&gt;="&amp;W$41,Lançamentos!$I$5:$I$504,"&lt;"&amp;DATE(YEAR(W$41),MONTH(W$41)+1,1)))</f>
        <v>0</v>
      </c>
      <c r="X51" s="55" t="n">
        <f aca="false">IF($B51="",0,SUMPRODUCT((Lançamentos!$D$5:$D$504=$B51)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51,Lançamentos!$I$5:$I$504,"&gt;="&amp;X$41,Lançamentos!$I$5:$I$504,"&lt;"&amp;DATE(YEAR(X$41),MONTH(X$41)+1,1)))</f>
        <v>0</v>
      </c>
      <c r="Y51" s="55" t="n">
        <f aca="false">IF($B51="",0,SUMPRODUCT((Lançamentos!$D$5:$D$504=$B51)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51,Lançamentos!$I$5:$I$504,"&gt;="&amp;Y$41,Lançamentos!$I$5:$I$504,"&lt;"&amp;DATE(YEAR(Y$41),MONTH(Y$41)+1,1)))</f>
        <v>0</v>
      </c>
      <c r="Z51" s="55" t="n">
        <f aca="false">IF($B51="",0,SUMPRODUCT((Lançamentos!$D$5:$D$504=$B51)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51,Lançamentos!$I$5:$I$504,"&gt;="&amp;Z$41,Lançamentos!$I$5:$I$504,"&lt;"&amp;DATE(YEAR(Z$41),MONTH(Z$41)+1,1)))</f>
        <v>0</v>
      </c>
      <c r="AA51" s="55" t="n">
        <f aca="false">IF($B51="",0,SUMPRODUCT((Lançamentos!$D$5:$D$504=$B51)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51,Lançamentos!$I$5:$I$504,"&gt;="&amp;AA$41,Lançamentos!$I$5:$I$504,"&lt;"&amp;DATE(YEAR(AA$41),MONTH(AA$41)+1,1)))</f>
        <v>0</v>
      </c>
    </row>
    <row r="52" customFormat="false" ht="15" hidden="false" customHeight="false" outlineLevel="0" collapsed="false">
      <c r="B52" s="35" t="str">
        <f aca="false">IF(Cadastros!A14="","",Cadastros!A14)</f>
        <v>Honorários Contábeis e Jurídicos</v>
      </c>
      <c r="C52" s="72" t="n">
        <f aca="false">SUMIFS($D52:$AA52,$D$41:$AA$41,"&gt;="&amp;DATE(YEAR($C$6),MONTH($C$6),1),$D$41:$AA$41,"&lt;="&amp;$E$6)</f>
        <v>0</v>
      </c>
      <c r="D52" s="73" t="n">
        <f aca="false">IF($B52="",0,SUMPRODUCT((Lançamentos!$D$5:$D$504=$B52)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52,Lançamentos!$I$5:$I$504,"&gt;="&amp;D$41,Lançamentos!$I$5:$I$504,"&lt;"&amp;DATE(YEAR(D$41),MONTH(D$41)+1,1)))</f>
        <v>0</v>
      </c>
      <c r="E52" s="73" t="n">
        <f aca="false">IF($B52="",0,SUMPRODUCT((Lançamentos!$D$5:$D$504=$B52)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52,Lançamentos!$I$5:$I$504,"&gt;="&amp;E$41,Lançamentos!$I$5:$I$504,"&lt;"&amp;DATE(YEAR(E$41),MONTH(E$41)+1,1)))</f>
        <v>0</v>
      </c>
      <c r="F52" s="73" t="n">
        <f aca="false">IF($B52="",0,SUMPRODUCT((Lançamentos!$D$5:$D$504=$B52)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52,Lançamentos!$I$5:$I$504,"&gt;="&amp;F$41,Lançamentos!$I$5:$I$504,"&lt;"&amp;DATE(YEAR(F$41),MONTH(F$41)+1,1)))</f>
        <v>0</v>
      </c>
      <c r="G52" s="73" t="n">
        <f aca="false">IF($B52="",0,SUMPRODUCT((Lançamentos!$D$5:$D$504=$B52)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52,Lançamentos!$I$5:$I$504,"&gt;="&amp;G$41,Lançamentos!$I$5:$I$504,"&lt;"&amp;DATE(YEAR(G$41),MONTH(G$41)+1,1)))</f>
        <v>0</v>
      </c>
      <c r="H52" s="73" t="n">
        <f aca="false">IF($B52="",0,SUMPRODUCT((Lançamentos!$D$5:$D$504=$B52)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52,Lançamentos!$I$5:$I$504,"&gt;="&amp;H$41,Lançamentos!$I$5:$I$504,"&lt;"&amp;DATE(YEAR(H$41),MONTH(H$41)+1,1)))</f>
        <v>0</v>
      </c>
      <c r="I52" s="73" t="n">
        <f aca="false">IF($B52="",0,SUMPRODUCT((Lançamentos!$D$5:$D$504=$B52)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52,Lançamentos!$I$5:$I$504,"&gt;="&amp;I$41,Lançamentos!$I$5:$I$504,"&lt;"&amp;DATE(YEAR(I$41),MONTH(I$41)+1,1)))</f>
        <v>0</v>
      </c>
      <c r="J52" s="73" t="n">
        <f aca="false">IF($B52="",0,SUMPRODUCT((Lançamentos!$D$5:$D$504=$B52)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52,Lançamentos!$I$5:$I$504,"&gt;="&amp;J$41,Lançamentos!$I$5:$I$504,"&lt;"&amp;DATE(YEAR(J$41),MONTH(J$41)+1,1)))</f>
        <v>0</v>
      </c>
      <c r="K52" s="73" t="n">
        <f aca="false">IF($B52="",0,SUMPRODUCT((Lançamentos!$D$5:$D$504=$B52)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52,Lançamentos!$I$5:$I$504,"&gt;="&amp;K$41,Lançamentos!$I$5:$I$504,"&lt;"&amp;DATE(YEAR(K$41),MONTH(K$41)+1,1)))</f>
        <v>0</v>
      </c>
      <c r="L52" s="73" t="n">
        <f aca="false">IF($B52="",0,SUMPRODUCT((Lançamentos!$D$5:$D$504=$B52)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52,Lançamentos!$I$5:$I$504,"&gt;="&amp;L$41,Lançamentos!$I$5:$I$504,"&lt;"&amp;DATE(YEAR(L$41),MONTH(L$41)+1,1)))</f>
        <v>0</v>
      </c>
      <c r="M52" s="73" t="n">
        <f aca="false">IF($B52="",0,SUMPRODUCT((Lançamentos!$D$5:$D$504=$B52)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52,Lançamentos!$I$5:$I$504,"&gt;="&amp;M$41,Lançamentos!$I$5:$I$504,"&lt;"&amp;DATE(YEAR(M$41),MONTH(M$41)+1,1)))</f>
        <v>0</v>
      </c>
      <c r="N52" s="73" t="n">
        <f aca="false">IF($B52="",0,SUMPRODUCT((Lançamentos!$D$5:$D$504=$B52)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52,Lançamentos!$I$5:$I$504,"&gt;="&amp;N$41,Lançamentos!$I$5:$I$504,"&lt;"&amp;DATE(YEAR(N$41),MONTH(N$41)+1,1)))</f>
        <v>0</v>
      </c>
      <c r="O52" s="73" t="n">
        <f aca="false">IF($B52="",0,SUMPRODUCT((Lançamentos!$D$5:$D$504=$B52)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52,Lançamentos!$I$5:$I$504,"&gt;="&amp;O$41,Lançamentos!$I$5:$I$504,"&lt;"&amp;DATE(YEAR(O$41),MONTH(O$41)+1,1)))</f>
        <v>0</v>
      </c>
      <c r="P52" s="73" t="n">
        <f aca="false">IF($B52="",0,SUMPRODUCT((Lançamentos!$D$5:$D$504=$B52)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52,Lançamentos!$I$5:$I$504,"&gt;="&amp;P$41,Lançamentos!$I$5:$I$504,"&lt;"&amp;DATE(YEAR(P$41),MONTH(P$41)+1,1)))</f>
        <v>0</v>
      </c>
      <c r="Q52" s="73" t="n">
        <f aca="false">IF($B52="",0,SUMPRODUCT((Lançamentos!$D$5:$D$504=$B52)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52,Lançamentos!$I$5:$I$504,"&gt;="&amp;Q$41,Lançamentos!$I$5:$I$504,"&lt;"&amp;DATE(YEAR(Q$41),MONTH(Q$41)+1,1)))</f>
        <v>0</v>
      </c>
      <c r="R52" s="73" t="n">
        <f aca="false">IF($B52="",0,SUMPRODUCT((Lançamentos!$D$5:$D$504=$B52)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52,Lançamentos!$I$5:$I$504,"&gt;="&amp;R$41,Lançamentos!$I$5:$I$504,"&lt;"&amp;DATE(YEAR(R$41),MONTH(R$41)+1,1)))</f>
        <v>0</v>
      </c>
      <c r="S52" s="73" t="n">
        <f aca="false">IF($B52="",0,SUMPRODUCT((Lançamentos!$D$5:$D$504=$B52)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52,Lançamentos!$I$5:$I$504,"&gt;="&amp;S$41,Lançamentos!$I$5:$I$504,"&lt;"&amp;DATE(YEAR(S$41),MONTH(S$41)+1,1)))</f>
        <v>0</v>
      </c>
      <c r="T52" s="73" t="n">
        <f aca="false">IF($B52="",0,SUMPRODUCT((Lançamentos!$D$5:$D$504=$B52)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52,Lançamentos!$I$5:$I$504,"&gt;="&amp;T$41,Lançamentos!$I$5:$I$504,"&lt;"&amp;DATE(YEAR(T$41),MONTH(T$41)+1,1)))</f>
        <v>0</v>
      </c>
      <c r="U52" s="73" t="n">
        <f aca="false">IF($B52="",0,SUMPRODUCT((Lançamentos!$D$5:$D$504=$B52)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52,Lançamentos!$I$5:$I$504,"&gt;="&amp;U$41,Lançamentos!$I$5:$I$504,"&lt;"&amp;DATE(YEAR(U$41),MONTH(U$41)+1,1)))</f>
        <v>0</v>
      </c>
      <c r="V52" s="73" t="n">
        <f aca="false">IF($B52="",0,SUMPRODUCT((Lançamentos!$D$5:$D$504=$B52)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52,Lançamentos!$I$5:$I$504,"&gt;="&amp;V$41,Lançamentos!$I$5:$I$504,"&lt;"&amp;DATE(YEAR(V$41),MONTH(V$41)+1,1)))</f>
        <v>0</v>
      </c>
      <c r="W52" s="73" t="n">
        <f aca="false">IF($B52="",0,SUMPRODUCT((Lançamentos!$D$5:$D$504=$B52)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52,Lançamentos!$I$5:$I$504,"&gt;="&amp;W$41,Lançamentos!$I$5:$I$504,"&lt;"&amp;DATE(YEAR(W$41),MONTH(W$41)+1,1)))</f>
        <v>0</v>
      </c>
      <c r="X52" s="73" t="n">
        <f aca="false">IF($B52="",0,SUMPRODUCT((Lançamentos!$D$5:$D$504=$B52)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52,Lançamentos!$I$5:$I$504,"&gt;="&amp;X$41,Lançamentos!$I$5:$I$504,"&lt;"&amp;DATE(YEAR(X$41),MONTH(X$41)+1,1)))</f>
        <v>0</v>
      </c>
      <c r="Y52" s="73" t="n">
        <f aca="false">IF($B52="",0,SUMPRODUCT((Lançamentos!$D$5:$D$504=$B52)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52,Lançamentos!$I$5:$I$504,"&gt;="&amp;Y$41,Lançamentos!$I$5:$I$504,"&lt;"&amp;DATE(YEAR(Y$41),MONTH(Y$41)+1,1)))</f>
        <v>0</v>
      </c>
      <c r="Z52" s="73" t="n">
        <f aca="false">IF($B52="",0,SUMPRODUCT((Lançamentos!$D$5:$D$504=$B52)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52,Lançamentos!$I$5:$I$504,"&gt;="&amp;Z$41,Lançamentos!$I$5:$I$504,"&lt;"&amp;DATE(YEAR(Z$41),MONTH(Z$41)+1,1)))</f>
        <v>0</v>
      </c>
      <c r="AA52" s="73" t="n">
        <f aca="false">IF($B52="",0,SUMPRODUCT((Lançamentos!$D$5:$D$504=$B52)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52,Lançamentos!$I$5:$I$504,"&gt;="&amp;AA$41,Lançamentos!$I$5:$I$504,"&lt;"&amp;DATE(YEAR(AA$41),MONTH(AA$41)+1,1)))</f>
        <v>0</v>
      </c>
    </row>
    <row r="53" customFormat="false" ht="15" hidden="false" customHeight="false" outlineLevel="0" collapsed="false">
      <c r="B53" s="38" t="str">
        <f aca="false">IF(Cadastros!A15="","",Cadastros!A15)</f>
        <v>Outras Despesas</v>
      </c>
      <c r="C53" s="74" t="n">
        <f aca="false">SUMIFS($D53:$AA53,$D$41:$AA$41,"&gt;="&amp;DATE(YEAR($C$6),MONTH($C$6),1),$D$41:$AA$41,"&lt;="&amp;$E$6)</f>
        <v>0</v>
      </c>
      <c r="D53" s="55" t="n">
        <f aca="false">IF($B53="",0,SUMPRODUCT((Lançamentos!$D$5:$D$504=$B53)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53,Lançamentos!$I$5:$I$504,"&gt;="&amp;D$41,Lançamentos!$I$5:$I$504,"&lt;"&amp;DATE(YEAR(D$41),MONTH(D$41)+1,1)))</f>
        <v>0</v>
      </c>
      <c r="E53" s="55" t="n">
        <f aca="false">IF($B53="",0,SUMPRODUCT((Lançamentos!$D$5:$D$504=$B53)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53,Lançamentos!$I$5:$I$504,"&gt;="&amp;E$41,Lançamentos!$I$5:$I$504,"&lt;"&amp;DATE(YEAR(E$41),MONTH(E$41)+1,1)))</f>
        <v>0</v>
      </c>
      <c r="F53" s="55" t="n">
        <f aca="false">IF($B53="",0,SUMPRODUCT((Lançamentos!$D$5:$D$504=$B53)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53,Lançamentos!$I$5:$I$504,"&gt;="&amp;F$41,Lançamentos!$I$5:$I$504,"&lt;"&amp;DATE(YEAR(F$41),MONTH(F$41)+1,1)))</f>
        <v>0</v>
      </c>
      <c r="G53" s="55" t="n">
        <f aca="false">IF($B53="",0,SUMPRODUCT((Lançamentos!$D$5:$D$504=$B53)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53,Lançamentos!$I$5:$I$504,"&gt;="&amp;G$41,Lançamentos!$I$5:$I$504,"&lt;"&amp;DATE(YEAR(G$41),MONTH(G$41)+1,1)))</f>
        <v>0</v>
      </c>
      <c r="H53" s="55" t="n">
        <f aca="false">IF($B53="",0,SUMPRODUCT((Lançamentos!$D$5:$D$504=$B53)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53,Lançamentos!$I$5:$I$504,"&gt;="&amp;H$41,Lançamentos!$I$5:$I$504,"&lt;"&amp;DATE(YEAR(H$41),MONTH(H$41)+1,1)))</f>
        <v>0</v>
      </c>
      <c r="I53" s="55" t="n">
        <f aca="false">IF($B53="",0,SUMPRODUCT((Lançamentos!$D$5:$D$504=$B53)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53,Lançamentos!$I$5:$I$504,"&gt;="&amp;I$41,Lançamentos!$I$5:$I$504,"&lt;"&amp;DATE(YEAR(I$41),MONTH(I$41)+1,1)))</f>
        <v>0</v>
      </c>
      <c r="J53" s="55" t="n">
        <f aca="false">IF($B53="",0,SUMPRODUCT((Lançamentos!$D$5:$D$504=$B53)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53,Lançamentos!$I$5:$I$504,"&gt;="&amp;J$41,Lançamentos!$I$5:$I$504,"&lt;"&amp;DATE(YEAR(J$41),MONTH(J$41)+1,1)))</f>
        <v>0</v>
      </c>
      <c r="K53" s="55" t="n">
        <f aca="false">IF($B53="",0,SUMPRODUCT((Lançamentos!$D$5:$D$504=$B53)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53,Lançamentos!$I$5:$I$504,"&gt;="&amp;K$41,Lançamentos!$I$5:$I$504,"&lt;"&amp;DATE(YEAR(K$41),MONTH(K$41)+1,1)))</f>
        <v>0</v>
      </c>
      <c r="L53" s="55" t="n">
        <f aca="false">IF($B53="",0,SUMPRODUCT((Lançamentos!$D$5:$D$504=$B53)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53,Lançamentos!$I$5:$I$504,"&gt;="&amp;L$41,Lançamentos!$I$5:$I$504,"&lt;"&amp;DATE(YEAR(L$41),MONTH(L$41)+1,1)))</f>
        <v>0</v>
      </c>
      <c r="M53" s="55" t="n">
        <f aca="false">IF($B53="",0,SUMPRODUCT((Lançamentos!$D$5:$D$504=$B53)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53,Lançamentos!$I$5:$I$504,"&gt;="&amp;M$41,Lançamentos!$I$5:$I$504,"&lt;"&amp;DATE(YEAR(M$41),MONTH(M$41)+1,1)))</f>
        <v>0</v>
      </c>
      <c r="N53" s="55" t="n">
        <f aca="false">IF($B53="",0,SUMPRODUCT((Lançamentos!$D$5:$D$504=$B53)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53,Lançamentos!$I$5:$I$504,"&gt;="&amp;N$41,Lançamentos!$I$5:$I$504,"&lt;"&amp;DATE(YEAR(N$41),MONTH(N$41)+1,1)))</f>
        <v>0</v>
      </c>
      <c r="O53" s="55" t="n">
        <f aca="false">IF($B53="",0,SUMPRODUCT((Lançamentos!$D$5:$D$504=$B53)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53,Lançamentos!$I$5:$I$504,"&gt;="&amp;O$41,Lançamentos!$I$5:$I$504,"&lt;"&amp;DATE(YEAR(O$41),MONTH(O$41)+1,1)))</f>
        <v>0</v>
      </c>
      <c r="P53" s="55" t="n">
        <f aca="false">IF($B53="",0,SUMPRODUCT((Lançamentos!$D$5:$D$504=$B53)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53,Lançamentos!$I$5:$I$504,"&gt;="&amp;P$41,Lançamentos!$I$5:$I$504,"&lt;"&amp;DATE(YEAR(P$41),MONTH(P$41)+1,1)))</f>
        <v>0</v>
      </c>
      <c r="Q53" s="55" t="n">
        <f aca="false">IF($B53="",0,SUMPRODUCT((Lançamentos!$D$5:$D$504=$B53)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53,Lançamentos!$I$5:$I$504,"&gt;="&amp;Q$41,Lançamentos!$I$5:$I$504,"&lt;"&amp;DATE(YEAR(Q$41),MONTH(Q$41)+1,1)))</f>
        <v>0</v>
      </c>
      <c r="R53" s="55" t="n">
        <f aca="false">IF($B53="",0,SUMPRODUCT((Lançamentos!$D$5:$D$504=$B53)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53,Lançamentos!$I$5:$I$504,"&gt;="&amp;R$41,Lançamentos!$I$5:$I$504,"&lt;"&amp;DATE(YEAR(R$41),MONTH(R$41)+1,1)))</f>
        <v>0</v>
      </c>
      <c r="S53" s="55" t="n">
        <f aca="false">IF($B53="",0,SUMPRODUCT((Lançamentos!$D$5:$D$504=$B53)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53,Lançamentos!$I$5:$I$504,"&gt;="&amp;S$41,Lançamentos!$I$5:$I$504,"&lt;"&amp;DATE(YEAR(S$41),MONTH(S$41)+1,1)))</f>
        <v>0</v>
      </c>
      <c r="T53" s="55" t="n">
        <f aca="false">IF($B53="",0,SUMPRODUCT((Lançamentos!$D$5:$D$504=$B53)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53,Lançamentos!$I$5:$I$504,"&gt;="&amp;T$41,Lançamentos!$I$5:$I$504,"&lt;"&amp;DATE(YEAR(T$41),MONTH(T$41)+1,1)))</f>
        <v>0</v>
      </c>
      <c r="U53" s="55" t="n">
        <f aca="false">IF($B53="",0,SUMPRODUCT((Lançamentos!$D$5:$D$504=$B53)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53,Lançamentos!$I$5:$I$504,"&gt;="&amp;U$41,Lançamentos!$I$5:$I$504,"&lt;"&amp;DATE(YEAR(U$41),MONTH(U$41)+1,1)))</f>
        <v>0</v>
      </c>
      <c r="V53" s="55" t="n">
        <f aca="false">IF($B53="",0,SUMPRODUCT((Lançamentos!$D$5:$D$504=$B53)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53,Lançamentos!$I$5:$I$504,"&gt;="&amp;V$41,Lançamentos!$I$5:$I$504,"&lt;"&amp;DATE(YEAR(V$41),MONTH(V$41)+1,1)))</f>
        <v>0</v>
      </c>
      <c r="W53" s="55" t="n">
        <f aca="false">IF($B53="",0,SUMPRODUCT((Lançamentos!$D$5:$D$504=$B53)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53,Lançamentos!$I$5:$I$504,"&gt;="&amp;W$41,Lançamentos!$I$5:$I$504,"&lt;"&amp;DATE(YEAR(W$41),MONTH(W$41)+1,1)))</f>
        <v>0</v>
      </c>
      <c r="X53" s="55" t="n">
        <f aca="false">IF($B53="",0,SUMPRODUCT((Lançamentos!$D$5:$D$504=$B53)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53,Lançamentos!$I$5:$I$504,"&gt;="&amp;X$41,Lançamentos!$I$5:$I$504,"&lt;"&amp;DATE(YEAR(X$41),MONTH(X$41)+1,1)))</f>
        <v>0</v>
      </c>
      <c r="Y53" s="55" t="n">
        <f aca="false">IF($B53="",0,SUMPRODUCT((Lançamentos!$D$5:$D$504=$B53)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53,Lançamentos!$I$5:$I$504,"&gt;="&amp;Y$41,Lançamentos!$I$5:$I$504,"&lt;"&amp;DATE(YEAR(Y$41),MONTH(Y$41)+1,1)))</f>
        <v>0</v>
      </c>
      <c r="Z53" s="55" t="n">
        <f aca="false">IF($B53="",0,SUMPRODUCT((Lançamentos!$D$5:$D$504=$B53)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53,Lançamentos!$I$5:$I$504,"&gt;="&amp;Z$41,Lançamentos!$I$5:$I$504,"&lt;"&amp;DATE(YEAR(Z$41),MONTH(Z$41)+1,1)))</f>
        <v>0</v>
      </c>
      <c r="AA53" s="55" t="n">
        <f aca="false">IF($B53="",0,SUMPRODUCT((Lançamentos!$D$5:$D$504=$B53)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53,Lançamentos!$I$5:$I$504,"&gt;="&amp;AA$41,Lançamentos!$I$5:$I$504,"&lt;"&amp;DATE(YEAR(AA$41),MONTH(AA$41)+1,1)))</f>
        <v>0</v>
      </c>
    </row>
    <row r="54" customFormat="false" ht="15" hidden="false" customHeight="false" outlineLevel="0" collapsed="false">
      <c r="B54" s="35" t="str">
        <f aca="false">IF(Cadastros!A16="","",Cadastros!A16)</f>
        <v/>
      </c>
      <c r="C54" s="72" t="n">
        <f aca="false">SUMIFS($D54:$AA54,$D$41:$AA$41,"&gt;="&amp;DATE(YEAR($C$6),MONTH($C$6),1),$D$41:$AA$41,"&lt;="&amp;$E$6)</f>
        <v>0</v>
      </c>
      <c r="D54" s="73" t="n">
        <f aca="false">IF($B54="",0,SUMPRODUCT((Lançamentos!$D$5:$D$504=$B54)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54,Lançamentos!$I$5:$I$504,"&gt;="&amp;D$41,Lançamentos!$I$5:$I$504,"&lt;"&amp;DATE(YEAR(D$41),MONTH(D$41)+1,1)))</f>
        <v>0</v>
      </c>
      <c r="E54" s="73" t="n">
        <f aca="false">IF($B54="",0,SUMPRODUCT((Lançamentos!$D$5:$D$504=$B54)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54,Lançamentos!$I$5:$I$504,"&gt;="&amp;E$41,Lançamentos!$I$5:$I$504,"&lt;"&amp;DATE(YEAR(E$41),MONTH(E$41)+1,1)))</f>
        <v>0</v>
      </c>
      <c r="F54" s="73" t="n">
        <f aca="false">IF($B54="",0,SUMPRODUCT((Lançamentos!$D$5:$D$504=$B54)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54,Lançamentos!$I$5:$I$504,"&gt;="&amp;F$41,Lançamentos!$I$5:$I$504,"&lt;"&amp;DATE(YEAR(F$41),MONTH(F$41)+1,1)))</f>
        <v>0</v>
      </c>
      <c r="G54" s="73" t="n">
        <f aca="false">IF($B54="",0,SUMPRODUCT((Lançamentos!$D$5:$D$504=$B54)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54,Lançamentos!$I$5:$I$504,"&gt;="&amp;G$41,Lançamentos!$I$5:$I$504,"&lt;"&amp;DATE(YEAR(G$41),MONTH(G$41)+1,1)))</f>
        <v>0</v>
      </c>
      <c r="H54" s="73" t="n">
        <f aca="false">IF($B54="",0,SUMPRODUCT((Lançamentos!$D$5:$D$504=$B54)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54,Lançamentos!$I$5:$I$504,"&gt;="&amp;H$41,Lançamentos!$I$5:$I$504,"&lt;"&amp;DATE(YEAR(H$41),MONTH(H$41)+1,1)))</f>
        <v>0</v>
      </c>
      <c r="I54" s="73" t="n">
        <f aca="false">IF($B54="",0,SUMPRODUCT((Lançamentos!$D$5:$D$504=$B54)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54,Lançamentos!$I$5:$I$504,"&gt;="&amp;I$41,Lançamentos!$I$5:$I$504,"&lt;"&amp;DATE(YEAR(I$41),MONTH(I$41)+1,1)))</f>
        <v>0</v>
      </c>
      <c r="J54" s="73" t="n">
        <f aca="false">IF($B54="",0,SUMPRODUCT((Lançamentos!$D$5:$D$504=$B54)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54,Lançamentos!$I$5:$I$504,"&gt;="&amp;J$41,Lançamentos!$I$5:$I$504,"&lt;"&amp;DATE(YEAR(J$41),MONTH(J$41)+1,1)))</f>
        <v>0</v>
      </c>
      <c r="K54" s="73" t="n">
        <f aca="false">IF($B54="",0,SUMPRODUCT((Lançamentos!$D$5:$D$504=$B54)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54,Lançamentos!$I$5:$I$504,"&gt;="&amp;K$41,Lançamentos!$I$5:$I$504,"&lt;"&amp;DATE(YEAR(K$41),MONTH(K$41)+1,1)))</f>
        <v>0</v>
      </c>
      <c r="L54" s="73" t="n">
        <f aca="false">IF($B54="",0,SUMPRODUCT((Lançamentos!$D$5:$D$504=$B54)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54,Lançamentos!$I$5:$I$504,"&gt;="&amp;L$41,Lançamentos!$I$5:$I$504,"&lt;"&amp;DATE(YEAR(L$41),MONTH(L$41)+1,1)))</f>
        <v>0</v>
      </c>
      <c r="M54" s="73" t="n">
        <f aca="false">IF($B54="",0,SUMPRODUCT((Lançamentos!$D$5:$D$504=$B54)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54,Lançamentos!$I$5:$I$504,"&gt;="&amp;M$41,Lançamentos!$I$5:$I$504,"&lt;"&amp;DATE(YEAR(M$41),MONTH(M$41)+1,1)))</f>
        <v>0</v>
      </c>
      <c r="N54" s="73" t="n">
        <f aca="false">IF($B54="",0,SUMPRODUCT((Lançamentos!$D$5:$D$504=$B54)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54,Lançamentos!$I$5:$I$504,"&gt;="&amp;N$41,Lançamentos!$I$5:$I$504,"&lt;"&amp;DATE(YEAR(N$41),MONTH(N$41)+1,1)))</f>
        <v>0</v>
      </c>
      <c r="O54" s="73" t="n">
        <f aca="false">IF($B54="",0,SUMPRODUCT((Lançamentos!$D$5:$D$504=$B54)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54,Lançamentos!$I$5:$I$504,"&gt;="&amp;O$41,Lançamentos!$I$5:$I$504,"&lt;"&amp;DATE(YEAR(O$41),MONTH(O$41)+1,1)))</f>
        <v>0</v>
      </c>
      <c r="P54" s="73" t="n">
        <f aca="false">IF($B54="",0,SUMPRODUCT((Lançamentos!$D$5:$D$504=$B54)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54,Lançamentos!$I$5:$I$504,"&gt;="&amp;P$41,Lançamentos!$I$5:$I$504,"&lt;"&amp;DATE(YEAR(P$41),MONTH(P$41)+1,1)))</f>
        <v>0</v>
      </c>
      <c r="Q54" s="73" t="n">
        <f aca="false">IF($B54="",0,SUMPRODUCT((Lançamentos!$D$5:$D$504=$B54)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54,Lançamentos!$I$5:$I$504,"&gt;="&amp;Q$41,Lançamentos!$I$5:$I$504,"&lt;"&amp;DATE(YEAR(Q$41),MONTH(Q$41)+1,1)))</f>
        <v>0</v>
      </c>
      <c r="R54" s="73" t="n">
        <f aca="false">IF($B54="",0,SUMPRODUCT((Lançamentos!$D$5:$D$504=$B54)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54,Lançamentos!$I$5:$I$504,"&gt;="&amp;R$41,Lançamentos!$I$5:$I$504,"&lt;"&amp;DATE(YEAR(R$41),MONTH(R$41)+1,1)))</f>
        <v>0</v>
      </c>
      <c r="S54" s="73" t="n">
        <f aca="false">IF($B54="",0,SUMPRODUCT((Lançamentos!$D$5:$D$504=$B54)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54,Lançamentos!$I$5:$I$504,"&gt;="&amp;S$41,Lançamentos!$I$5:$I$504,"&lt;"&amp;DATE(YEAR(S$41),MONTH(S$41)+1,1)))</f>
        <v>0</v>
      </c>
      <c r="T54" s="73" t="n">
        <f aca="false">IF($B54="",0,SUMPRODUCT((Lançamentos!$D$5:$D$504=$B54)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54,Lançamentos!$I$5:$I$504,"&gt;="&amp;T$41,Lançamentos!$I$5:$I$504,"&lt;"&amp;DATE(YEAR(T$41),MONTH(T$41)+1,1)))</f>
        <v>0</v>
      </c>
      <c r="U54" s="73" t="n">
        <f aca="false">IF($B54="",0,SUMPRODUCT((Lançamentos!$D$5:$D$504=$B54)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54,Lançamentos!$I$5:$I$504,"&gt;="&amp;U$41,Lançamentos!$I$5:$I$504,"&lt;"&amp;DATE(YEAR(U$41),MONTH(U$41)+1,1)))</f>
        <v>0</v>
      </c>
      <c r="V54" s="73" t="n">
        <f aca="false">IF($B54="",0,SUMPRODUCT((Lançamentos!$D$5:$D$504=$B54)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54,Lançamentos!$I$5:$I$504,"&gt;="&amp;V$41,Lançamentos!$I$5:$I$504,"&lt;"&amp;DATE(YEAR(V$41),MONTH(V$41)+1,1)))</f>
        <v>0</v>
      </c>
      <c r="W54" s="73" t="n">
        <f aca="false">IF($B54="",0,SUMPRODUCT((Lançamentos!$D$5:$D$504=$B54)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54,Lançamentos!$I$5:$I$504,"&gt;="&amp;W$41,Lançamentos!$I$5:$I$504,"&lt;"&amp;DATE(YEAR(W$41),MONTH(W$41)+1,1)))</f>
        <v>0</v>
      </c>
      <c r="X54" s="73" t="n">
        <f aca="false">IF($B54="",0,SUMPRODUCT((Lançamentos!$D$5:$D$504=$B54)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54,Lançamentos!$I$5:$I$504,"&gt;="&amp;X$41,Lançamentos!$I$5:$I$504,"&lt;"&amp;DATE(YEAR(X$41),MONTH(X$41)+1,1)))</f>
        <v>0</v>
      </c>
      <c r="Y54" s="73" t="n">
        <f aca="false">IF($B54="",0,SUMPRODUCT((Lançamentos!$D$5:$D$504=$B54)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54,Lançamentos!$I$5:$I$504,"&gt;="&amp;Y$41,Lançamentos!$I$5:$I$504,"&lt;"&amp;DATE(YEAR(Y$41),MONTH(Y$41)+1,1)))</f>
        <v>0</v>
      </c>
      <c r="Z54" s="73" t="n">
        <f aca="false">IF($B54="",0,SUMPRODUCT((Lançamentos!$D$5:$D$504=$B54)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54,Lançamentos!$I$5:$I$504,"&gt;="&amp;Z$41,Lançamentos!$I$5:$I$504,"&lt;"&amp;DATE(YEAR(Z$41),MONTH(Z$41)+1,1)))</f>
        <v>0</v>
      </c>
      <c r="AA54" s="73" t="n">
        <f aca="false">IF($B54="",0,SUMPRODUCT((Lançamentos!$D$5:$D$504=$B54)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54,Lançamentos!$I$5:$I$504,"&gt;="&amp;AA$41,Lançamentos!$I$5:$I$504,"&lt;"&amp;DATE(YEAR(AA$41),MONTH(AA$41)+1,1)))</f>
        <v>0</v>
      </c>
    </row>
    <row r="55" customFormat="false" ht="15" hidden="false" customHeight="false" outlineLevel="0" collapsed="false">
      <c r="B55" s="38" t="str">
        <f aca="false">IF(Cadastros!A17="","",Cadastros!A17)</f>
        <v/>
      </c>
      <c r="C55" s="74" t="n">
        <f aca="false">SUMIFS($D55:$AA55,$D$41:$AA$41,"&gt;="&amp;DATE(YEAR($C$6),MONTH($C$6),1),$D$41:$AA$41,"&lt;="&amp;$E$6)</f>
        <v>0</v>
      </c>
      <c r="D55" s="55" t="n">
        <f aca="false">IF($B55="",0,SUMPRODUCT((Lançamentos!$D$5:$D$504=$B55)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55,Lançamentos!$I$5:$I$504,"&gt;="&amp;D$41,Lançamentos!$I$5:$I$504,"&lt;"&amp;DATE(YEAR(D$41),MONTH(D$41)+1,1)))</f>
        <v>0</v>
      </c>
      <c r="E55" s="55" t="n">
        <f aca="false">IF($B55="",0,SUMPRODUCT((Lançamentos!$D$5:$D$504=$B55)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55,Lançamentos!$I$5:$I$504,"&gt;="&amp;E$41,Lançamentos!$I$5:$I$504,"&lt;"&amp;DATE(YEAR(E$41),MONTH(E$41)+1,1)))</f>
        <v>0</v>
      </c>
      <c r="F55" s="55" t="n">
        <f aca="false">IF($B55="",0,SUMPRODUCT((Lançamentos!$D$5:$D$504=$B55)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55,Lançamentos!$I$5:$I$504,"&gt;="&amp;F$41,Lançamentos!$I$5:$I$504,"&lt;"&amp;DATE(YEAR(F$41),MONTH(F$41)+1,1)))</f>
        <v>0</v>
      </c>
      <c r="G55" s="55" t="n">
        <f aca="false">IF($B55="",0,SUMPRODUCT((Lançamentos!$D$5:$D$504=$B55)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55,Lançamentos!$I$5:$I$504,"&gt;="&amp;G$41,Lançamentos!$I$5:$I$504,"&lt;"&amp;DATE(YEAR(G$41),MONTH(G$41)+1,1)))</f>
        <v>0</v>
      </c>
      <c r="H55" s="55" t="n">
        <f aca="false">IF($B55="",0,SUMPRODUCT((Lançamentos!$D$5:$D$504=$B55)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55,Lançamentos!$I$5:$I$504,"&gt;="&amp;H$41,Lançamentos!$I$5:$I$504,"&lt;"&amp;DATE(YEAR(H$41),MONTH(H$41)+1,1)))</f>
        <v>0</v>
      </c>
      <c r="I55" s="55" t="n">
        <f aca="false">IF($B55="",0,SUMPRODUCT((Lançamentos!$D$5:$D$504=$B55)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55,Lançamentos!$I$5:$I$504,"&gt;="&amp;I$41,Lançamentos!$I$5:$I$504,"&lt;"&amp;DATE(YEAR(I$41),MONTH(I$41)+1,1)))</f>
        <v>0</v>
      </c>
      <c r="J55" s="55" t="n">
        <f aca="false">IF($B55="",0,SUMPRODUCT((Lançamentos!$D$5:$D$504=$B55)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55,Lançamentos!$I$5:$I$504,"&gt;="&amp;J$41,Lançamentos!$I$5:$I$504,"&lt;"&amp;DATE(YEAR(J$41),MONTH(J$41)+1,1)))</f>
        <v>0</v>
      </c>
      <c r="K55" s="55" t="n">
        <f aca="false">IF($B55="",0,SUMPRODUCT((Lançamentos!$D$5:$D$504=$B55)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55,Lançamentos!$I$5:$I$504,"&gt;="&amp;K$41,Lançamentos!$I$5:$I$504,"&lt;"&amp;DATE(YEAR(K$41),MONTH(K$41)+1,1)))</f>
        <v>0</v>
      </c>
      <c r="L55" s="55" t="n">
        <f aca="false">IF($B55="",0,SUMPRODUCT((Lançamentos!$D$5:$D$504=$B55)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55,Lançamentos!$I$5:$I$504,"&gt;="&amp;L$41,Lançamentos!$I$5:$I$504,"&lt;"&amp;DATE(YEAR(L$41),MONTH(L$41)+1,1)))</f>
        <v>0</v>
      </c>
      <c r="M55" s="55" t="n">
        <f aca="false">IF($B55="",0,SUMPRODUCT((Lançamentos!$D$5:$D$504=$B55)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55,Lançamentos!$I$5:$I$504,"&gt;="&amp;M$41,Lançamentos!$I$5:$I$504,"&lt;"&amp;DATE(YEAR(M$41),MONTH(M$41)+1,1)))</f>
        <v>0</v>
      </c>
      <c r="N55" s="55" t="n">
        <f aca="false">IF($B55="",0,SUMPRODUCT((Lançamentos!$D$5:$D$504=$B55)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55,Lançamentos!$I$5:$I$504,"&gt;="&amp;N$41,Lançamentos!$I$5:$I$504,"&lt;"&amp;DATE(YEAR(N$41),MONTH(N$41)+1,1)))</f>
        <v>0</v>
      </c>
      <c r="O55" s="55" t="n">
        <f aca="false">IF($B55="",0,SUMPRODUCT((Lançamentos!$D$5:$D$504=$B55)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55,Lançamentos!$I$5:$I$504,"&gt;="&amp;O$41,Lançamentos!$I$5:$I$504,"&lt;"&amp;DATE(YEAR(O$41),MONTH(O$41)+1,1)))</f>
        <v>0</v>
      </c>
      <c r="P55" s="55" t="n">
        <f aca="false">IF($B55="",0,SUMPRODUCT((Lançamentos!$D$5:$D$504=$B55)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55,Lançamentos!$I$5:$I$504,"&gt;="&amp;P$41,Lançamentos!$I$5:$I$504,"&lt;"&amp;DATE(YEAR(P$41),MONTH(P$41)+1,1)))</f>
        <v>0</v>
      </c>
      <c r="Q55" s="55" t="n">
        <f aca="false">IF($B55="",0,SUMPRODUCT((Lançamentos!$D$5:$D$504=$B55)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55,Lançamentos!$I$5:$I$504,"&gt;="&amp;Q$41,Lançamentos!$I$5:$I$504,"&lt;"&amp;DATE(YEAR(Q$41),MONTH(Q$41)+1,1)))</f>
        <v>0</v>
      </c>
      <c r="R55" s="55" t="n">
        <f aca="false">IF($B55="",0,SUMPRODUCT((Lançamentos!$D$5:$D$504=$B55)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55,Lançamentos!$I$5:$I$504,"&gt;="&amp;R$41,Lançamentos!$I$5:$I$504,"&lt;"&amp;DATE(YEAR(R$41),MONTH(R$41)+1,1)))</f>
        <v>0</v>
      </c>
      <c r="S55" s="55" t="n">
        <f aca="false">IF($B55="",0,SUMPRODUCT((Lançamentos!$D$5:$D$504=$B55)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55,Lançamentos!$I$5:$I$504,"&gt;="&amp;S$41,Lançamentos!$I$5:$I$504,"&lt;"&amp;DATE(YEAR(S$41),MONTH(S$41)+1,1)))</f>
        <v>0</v>
      </c>
      <c r="T55" s="55" t="n">
        <f aca="false">IF($B55="",0,SUMPRODUCT((Lançamentos!$D$5:$D$504=$B55)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55,Lançamentos!$I$5:$I$504,"&gt;="&amp;T$41,Lançamentos!$I$5:$I$504,"&lt;"&amp;DATE(YEAR(T$41),MONTH(T$41)+1,1)))</f>
        <v>0</v>
      </c>
      <c r="U55" s="55" t="n">
        <f aca="false">IF($B55="",0,SUMPRODUCT((Lançamentos!$D$5:$D$504=$B55)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55,Lançamentos!$I$5:$I$504,"&gt;="&amp;U$41,Lançamentos!$I$5:$I$504,"&lt;"&amp;DATE(YEAR(U$41),MONTH(U$41)+1,1)))</f>
        <v>0</v>
      </c>
      <c r="V55" s="55" t="n">
        <f aca="false">IF($B55="",0,SUMPRODUCT((Lançamentos!$D$5:$D$504=$B55)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55,Lançamentos!$I$5:$I$504,"&gt;="&amp;V$41,Lançamentos!$I$5:$I$504,"&lt;"&amp;DATE(YEAR(V$41),MONTH(V$41)+1,1)))</f>
        <v>0</v>
      </c>
      <c r="W55" s="55" t="n">
        <f aca="false">IF($B55="",0,SUMPRODUCT((Lançamentos!$D$5:$D$504=$B55)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55,Lançamentos!$I$5:$I$504,"&gt;="&amp;W$41,Lançamentos!$I$5:$I$504,"&lt;"&amp;DATE(YEAR(W$41),MONTH(W$41)+1,1)))</f>
        <v>0</v>
      </c>
      <c r="X55" s="55" t="n">
        <f aca="false">IF($B55="",0,SUMPRODUCT((Lançamentos!$D$5:$D$504=$B55)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55,Lançamentos!$I$5:$I$504,"&gt;="&amp;X$41,Lançamentos!$I$5:$I$504,"&lt;"&amp;DATE(YEAR(X$41),MONTH(X$41)+1,1)))</f>
        <v>0</v>
      </c>
      <c r="Y55" s="55" t="n">
        <f aca="false">IF($B55="",0,SUMPRODUCT((Lançamentos!$D$5:$D$504=$B55)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55,Lançamentos!$I$5:$I$504,"&gt;="&amp;Y$41,Lançamentos!$I$5:$I$504,"&lt;"&amp;DATE(YEAR(Y$41),MONTH(Y$41)+1,1)))</f>
        <v>0</v>
      </c>
      <c r="Z55" s="55" t="n">
        <f aca="false">IF($B55="",0,SUMPRODUCT((Lançamentos!$D$5:$D$504=$B55)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55,Lançamentos!$I$5:$I$504,"&gt;="&amp;Z$41,Lançamentos!$I$5:$I$504,"&lt;"&amp;DATE(YEAR(Z$41),MONTH(Z$41)+1,1)))</f>
        <v>0</v>
      </c>
      <c r="AA55" s="55" t="n">
        <f aca="false">IF($B55="",0,SUMPRODUCT((Lançamentos!$D$5:$D$504=$B55)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55,Lançamentos!$I$5:$I$504,"&gt;="&amp;AA$41,Lançamentos!$I$5:$I$504,"&lt;"&amp;DATE(YEAR(AA$41),MONTH(AA$41)+1,1)))</f>
        <v>0</v>
      </c>
    </row>
    <row r="56" customFormat="false" ht="15" hidden="false" customHeight="false" outlineLevel="0" collapsed="false">
      <c r="B56" s="35" t="str">
        <f aca="false">IF(Cadastros!A18="","",Cadastros!A18)</f>
        <v/>
      </c>
      <c r="C56" s="72" t="n">
        <f aca="false">SUMIFS($D56:$AA56,$D$41:$AA$41,"&gt;="&amp;DATE(YEAR($C$6),MONTH($C$6),1),$D$41:$AA$41,"&lt;="&amp;$E$6)</f>
        <v>0</v>
      </c>
      <c r="D56" s="73" t="n">
        <f aca="false">IF($B56="",0,SUMPRODUCT((Lançamentos!$D$5:$D$504=$B56)*(Lançamentos!$V$5:$V$504&lt;(YEAR(D$41)*12+MONTH(D$41)))*(Lançamentos!$W$5:$W$504&gt;=(YEAR(D$41)*12+MONTH(D$41)))*(MOD((YEAR(D$41)*12+MONTH(D$41))-Lançamentos!$V$5:$V$504,Lançamentos!$X$5:$X$504)=0)*Lançamentos!$J$5:$J$504)+SUMIFS(Lançamentos!$J$5:$J$504,Lançamentos!$D$5:$D$504,$B56,Lançamentos!$I$5:$I$504,"&gt;="&amp;D$41,Lançamentos!$I$5:$I$504,"&lt;"&amp;DATE(YEAR(D$41),MONTH(D$41)+1,1)))</f>
        <v>0</v>
      </c>
      <c r="E56" s="73" t="n">
        <f aca="false">IF($B56="",0,SUMPRODUCT((Lançamentos!$D$5:$D$504=$B56)*(Lançamentos!$V$5:$V$504&lt;(YEAR(E$41)*12+MONTH(E$41)))*(Lançamentos!$W$5:$W$504&gt;=(YEAR(E$41)*12+MONTH(E$41)))*(MOD((YEAR(E$41)*12+MONTH(E$41))-Lançamentos!$V$5:$V$504,Lançamentos!$X$5:$X$504)=0)*Lançamentos!$J$5:$J$504)+SUMIFS(Lançamentos!$J$5:$J$504,Lançamentos!$D$5:$D$504,$B56,Lançamentos!$I$5:$I$504,"&gt;="&amp;E$41,Lançamentos!$I$5:$I$504,"&lt;"&amp;DATE(YEAR(E$41),MONTH(E$41)+1,1)))</f>
        <v>0</v>
      </c>
      <c r="F56" s="73" t="n">
        <f aca="false">IF($B56="",0,SUMPRODUCT((Lançamentos!$D$5:$D$504=$B56)*(Lançamentos!$V$5:$V$504&lt;(YEAR(F$41)*12+MONTH(F$41)))*(Lançamentos!$W$5:$W$504&gt;=(YEAR(F$41)*12+MONTH(F$41)))*(MOD((YEAR(F$41)*12+MONTH(F$41))-Lançamentos!$V$5:$V$504,Lançamentos!$X$5:$X$504)=0)*Lançamentos!$J$5:$J$504)+SUMIFS(Lançamentos!$J$5:$J$504,Lançamentos!$D$5:$D$504,$B56,Lançamentos!$I$5:$I$504,"&gt;="&amp;F$41,Lançamentos!$I$5:$I$504,"&lt;"&amp;DATE(YEAR(F$41),MONTH(F$41)+1,1)))</f>
        <v>0</v>
      </c>
      <c r="G56" s="73" t="n">
        <f aca="false">IF($B56="",0,SUMPRODUCT((Lançamentos!$D$5:$D$504=$B56)*(Lançamentos!$V$5:$V$504&lt;(YEAR(G$41)*12+MONTH(G$41)))*(Lançamentos!$W$5:$W$504&gt;=(YEAR(G$41)*12+MONTH(G$41)))*(MOD((YEAR(G$41)*12+MONTH(G$41))-Lançamentos!$V$5:$V$504,Lançamentos!$X$5:$X$504)=0)*Lançamentos!$J$5:$J$504)+SUMIFS(Lançamentos!$J$5:$J$504,Lançamentos!$D$5:$D$504,$B56,Lançamentos!$I$5:$I$504,"&gt;="&amp;G$41,Lançamentos!$I$5:$I$504,"&lt;"&amp;DATE(YEAR(G$41),MONTH(G$41)+1,1)))</f>
        <v>0</v>
      </c>
      <c r="H56" s="73" t="n">
        <f aca="false">IF($B56="",0,SUMPRODUCT((Lançamentos!$D$5:$D$504=$B56)*(Lançamentos!$V$5:$V$504&lt;(YEAR(H$41)*12+MONTH(H$41)))*(Lançamentos!$W$5:$W$504&gt;=(YEAR(H$41)*12+MONTH(H$41)))*(MOD((YEAR(H$41)*12+MONTH(H$41))-Lançamentos!$V$5:$V$504,Lançamentos!$X$5:$X$504)=0)*Lançamentos!$J$5:$J$504)+SUMIFS(Lançamentos!$J$5:$J$504,Lançamentos!$D$5:$D$504,$B56,Lançamentos!$I$5:$I$504,"&gt;="&amp;H$41,Lançamentos!$I$5:$I$504,"&lt;"&amp;DATE(YEAR(H$41),MONTH(H$41)+1,1)))</f>
        <v>0</v>
      </c>
      <c r="I56" s="73" t="n">
        <f aca="false">IF($B56="",0,SUMPRODUCT((Lançamentos!$D$5:$D$504=$B56)*(Lançamentos!$V$5:$V$504&lt;(YEAR(I$41)*12+MONTH(I$41)))*(Lançamentos!$W$5:$W$504&gt;=(YEAR(I$41)*12+MONTH(I$41)))*(MOD((YEAR(I$41)*12+MONTH(I$41))-Lançamentos!$V$5:$V$504,Lançamentos!$X$5:$X$504)=0)*Lançamentos!$J$5:$J$504)+SUMIFS(Lançamentos!$J$5:$J$504,Lançamentos!$D$5:$D$504,$B56,Lançamentos!$I$5:$I$504,"&gt;="&amp;I$41,Lançamentos!$I$5:$I$504,"&lt;"&amp;DATE(YEAR(I$41),MONTH(I$41)+1,1)))</f>
        <v>0</v>
      </c>
      <c r="J56" s="73" t="n">
        <f aca="false">IF($B56="",0,SUMPRODUCT((Lançamentos!$D$5:$D$504=$B56)*(Lançamentos!$V$5:$V$504&lt;(YEAR(J$41)*12+MONTH(J$41)))*(Lançamentos!$W$5:$W$504&gt;=(YEAR(J$41)*12+MONTH(J$41)))*(MOD((YEAR(J$41)*12+MONTH(J$41))-Lançamentos!$V$5:$V$504,Lançamentos!$X$5:$X$504)=0)*Lançamentos!$J$5:$J$504)+SUMIFS(Lançamentos!$J$5:$J$504,Lançamentos!$D$5:$D$504,$B56,Lançamentos!$I$5:$I$504,"&gt;="&amp;J$41,Lançamentos!$I$5:$I$504,"&lt;"&amp;DATE(YEAR(J$41),MONTH(J$41)+1,1)))</f>
        <v>0</v>
      </c>
      <c r="K56" s="73" t="n">
        <f aca="false">IF($B56="",0,SUMPRODUCT((Lançamentos!$D$5:$D$504=$B56)*(Lançamentos!$V$5:$V$504&lt;(YEAR(K$41)*12+MONTH(K$41)))*(Lançamentos!$W$5:$W$504&gt;=(YEAR(K$41)*12+MONTH(K$41)))*(MOD((YEAR(K$41)*12+MONTH(K$41))-Lançamentos!$V$5:$V$504,Lançamentos!$X$5:$X$504)=0)*Lançamentos!$J$5:$J$504)+SUMIFS(Lançamentos!$J$5:$J$504,Lançamentos!$D$5:$D$504,$B56,Lançamentos!$I$5:$I$504,"&gt;="&amp;K$41,Lançamentos!$I$5:$I$504,"&lt;"&amp;DATE(YEAR(K$41),MONTH(K$41)+1,1)))</f>
        <v>0</v>
      </c>
      <c r="L56" s="73" t="n">
        <f aca="false">IF($B56="",0,SUMPRODUCT((Lançamentos!$D$5:$D$504=$B56)*(Lançamentos!$V$5:$V$504&lt;(YEAR(L$41)*12+MONTH(L$41)))*(Lançamentos!$W$5:$W$504&gt;=(YEAR(L$41)*12+MONTH(L$41)))*(MOD((YEAR(L$41)*12+MONTH(L$41))-Lançamentos!$V$5:$V$504,Lançamentos!$X$5:$X$504)=0)*Lançamentos!$J$5:$J$504)+SUMIFS(Lançamentos!$J$5:$J$504,Lançamentos!$D$5:$D$504,$B56,Lançamentos!$I$5:$I$504,"&gt;="&amp;L$41,Lançamentos!$I$5:$I$504,"&lt;"&amp;DATE(YEAR(L$41),MONTH(L$41)+1,1)))</f>
        <v>0</v>
      </c>
      <c r="M56" s="73" t="n">
        <f aca="false">IF($B56="",0,SUMPRODUCT((Lançamentos!$D$5:$D$504=$B56)*(Lançamentos!$V$5:$V$504&lt;(YEAR(M$41)*12+MONTH(M$41)))*(Lançamentos!$W$5:$W$504&gt;=(YEAR(M$41)*12+MONTH(M$41)))*(MOD((YEAR(M$41)*12+MONTH(M$41))-Lançamentos!$V$5:$V$504,Lançamentos!$X$5:$X$504)=0)*Lançamentos!$J$5:$J$504)+SUMIFS(Lançamentos!$J$5:$J$504,Lançamentos!$D$5:$D$504,$B56,Lançamentos!$I$5:$I$504,"&gt;="&amp;M$41,Lançamentos!$I$5:$I$504,"&lt;"&amp;DATE(YEAR(M$41),MONTH(M$41)+1,1)))</f>
        <v>0</v>
      </c>
      <c r="N56" s="73" t="n">
        <f aca="false">IF($B56="",0,SUMPRODUCT((Lançamentos!$D$5:$D$504=$B56)*(Lançamentos!$V$5:$V$504&lt;(YEAR(N$41)*12+MONTH(N$41)))*(Lançamentos!$W$5:$W$504&gt;=(YEAR(N$41)*12+MONTH(N$41)))*(MOD((YEAR(N$41)*12+MONTH(N$41))-Lançamentos!$V$5:$V$504,Lançamentos!$X$5:$X$504)=0)*Lançamentos!$J$5:$J$504)+SUMIFS(Lançamentos!$J$5:$J$504,Lançamentos!$D$5:$D$504,$B56,Lançamentos!$I$5:$I$504,"&gt;="&amp;N$41,Lançamentos!$I$5:$I$504,"&lt;"&amp;DATE(YEAR(N$41),MONTH(N$41)+1,1)))</f>
        <v>0</v>
      </c>
      <c r="O56" s="73" t="n">
        <f aca="false">IF($B56="",0,SUMPRODUCT((Lançamentos!$D$5:$D$504=$B56)*(Lançamentos!$V$5:$V$504&lt;(YEAR(O$41)*12+MONTH(O$41)))*(Lançamentos!$W$5:$W$504&gt;=(YEAR(O$41)*12+MONTH(O$41)))*(MOD((YEAR(O$41)*12+MONTH(O$41))-Lançamentos!$V$5:$V$504,Lançamentos!$X$5:$X$504)=0)*Lançamentos!$J$5:$J$504)+SUMIFS(Lançamentos!$J$5:$J$504,Lançamentos!$D$5:$D$504,$B56,Lançamentos!$I$5:$I$504,"&gt;="&amp;O$41,Lançamentos!$I$5:$I$504,"&lt;"&amp;DATE(YEAR(O$41),MONTH(O$41)+1,1)))</f>
        <v>0</v>
      </c>
      <c r="P56" s="73" t="n">
        <f aca="false">IF($B56="",0,SUMPRODUCT((Lançamentos!$D$5:$D$504=$B56)*(Lançamentos!$V$5:$V$504&lt;(YEAR(P$41)*12+MONTH(P$41)))*(Lançamentos!$W$5:$W$504&gt;=(YEAR(P$41)*12+MONTH(P$41)))*(MOD((YEAR(P$41)*12+MONTH(P$41))-Lançamentos!$V$5:$V$504,Lançamentos!$X$5:$X$504)=0)*Lançamentos!$J$5:$J$504)+SUMIFS(Lançamentos!$J$5:$J$504,Lançamentos!$D$5:$D$504,$B56,Lançamentos!$I$5:$I$504,"&gt;="&amp;P$41,Lançamentos!$I$5:$I$504,"&lt;"&amp;DATE(YEAR(P$41),MONTH(P$41)+1,1)))</f>
        <v>0</v>
      </c>
      <c r="Q56" s="73" t="n">
        <f aca="false">IF($B56="",0,SUMPRODUCT((Lançamentos!$D$5:$D$504=$B56)*(Lançamentos!$V$5:$V$504&lt;(YEAR(Q$41)*12+MONTH(Q$41)))*(Lançamentos!$W$5:$W$504&gt;=(YEAR(Q$41)*12+MONTH(Q$41)))*(MOD((YEAR(Q$41)*12+MONTH(Q$41))-Lançamentos!$V$5:$V$504,Lançamentos!$X$5:$X$504)=0)*Lançamentos!$J$5:$J$504)+SUMIFS(Lançamentos!$J$5:$J$504,Lançamentos!$D$5:$D$504,$B56,Lançamentos!$I$5:$I$504,"&gt;="&amp;Q$41,Lançamentos!$I$5:$I$504,"&lt;"&amp;DATE(YEAR(Q$41),MONTH(Q$41)+1,1)))</f>
        <v>0</v>
      </c>
      <c r="R56" s="73" t="n">
        <f aca="false">IF($B56="",0,SUMPRODUCT((Lançamentos!$D$5:$D$504=$B56)*(Lançamentos!$V$5:$V$504&lt;(YEAR(R$41)*12+MONTH(R$41)))*(Lançamentos!$W$5:$W$504&gt;=(YEAR(R$41)*12+MONTH(R$41)))*(MOD((YEAR(R$41)*12+MONTH(R$41))-Lançamentos!$V$5:$V$504,Lançamentos!$X$5:$X$504)=0)*Lançamentos!$J$5:$J$504)+SUMIFS(Lançamentos!$J$5:$J$504,Lançamentos!$D$5:$D$504,$B56,Lançamentos!$I$5:$I$504,"&gt;="&amp;R$41,Lançamentos!$I$5:$I$504,"&lt;"&amp;DATE(YEAR(R$41),MONTH(R$41)+1,1)))</f>
        <v>0</v>
      </c>
      <c r="S56" s="73" t="n">
        <f aca="false">IF($B56="",0,SUMPRODUCT((Lançamentos!$D$5:$D$504=$B56)*(Lançamentos!$V$5:$V$504&lt;(YEAR(S$41)*12+MONTH(S$41)))*(Lançamentos!$W$5:$W$504&gt;=(YEAR(S$41)*12+MONTH(S$41)))*(MOD((YEAR(S$41)*12+MONTH(S$41))-Lançamentos!$V$5:$V$504,Lançamentos!$X$5:$X$504)=0)*Lançamentos!$J$5:$J$504)+SUMIFS(Lançamentos!$J$5:$J$504,Lançamentos!$D$5:$D$504,$B56,Lançamentos!$I$5:$I$504,"&gt;="&amp;S$41,Lançamentos!$I$5:$I$504,"&lt;"&amp;DATE(YEAR(S$41),MONTH(S$41)+1,1)))</f>
        <v>0</v>
      </c>
      <c r="T56" s="73" t="n">
        <f aca="false">IF($B56="",0,SUMPRODUCT((Lançamentos!$D$5:$D$504=$B56)*(Lançamentos!$V$5:$V$504&lt;(YEAR(T$41)*12+MONTH(T$41)))*(Lançamentos!$W$5:$W$504&gt;=(YEAR(T$41)*12+MONTH(T$41)))*(MOD((YEAR(T$41)*12+MONTH(T$41))-Lançamentos!$V$5:$V$504,Lançamentos!$X$5:$X$504)=0)*Lançamentos!$J$5:$J$504)+SUMIFS(Lançamentos!$J$5:$J$504,Lançamentos!$D$5:$D$504,$B56,Lançamentos!$I$5:$I$504,"&gt;="&amp;T$41,Lançamentos!$I$5:$I$504,"&lt;"&amp;DATE(YEAR(T$41),MONTH(T$41)+1,1)))</f>
        <v>0</v>
      </c>
      <c r="U56" s="73" t="n">
        <f aca="false">IF($B56="",0,SUMPRODUCT((Lançamentos!$D$5:$D$504=$B56)*(Lançamentos!$V$5:$V$504&lt;(YEAR(U$41)*12+MONTH(U$41)))*(Lançamentos!$W$5:$W$504&gt;=(YEAR(U$41)*12+MONTH(U$41)))*(MOD((YEAR(U$41)*12+MONTH(U$41))-Lançamentos!$V$5:$V$504,Lançamentos!$X$5:$X$504)=0)*Lançamentos!$J$5:$J$504)+SUMIFS(Lançamentos!$J$5:$J$504,Lançamentos!$D$5:$D$504,$B56,Lançamentos!$I$5:$I$504,"&gt;="&amp;U$41,Lançamentos!$I$5:$I$504,"&lt;"&amp;DATE(YEAR(U$41),MONTH(U$41)+1,1)))</f>
        <v>0</v>
      </c>
      <c r="V56" s="73" t="n">
        <f aca="false">IF($B56="",0,SUMPRODUCT((Lançamentos!$D$5:$D$504=$B56)*(Lançamentos!$V$5:$V$504&lt;(YEAR(V$41)*12+MONTH(V$41)))*(Lançamentos!$W$5:$W$504&gt;=(YEAR(V$41)*12+MONTH(V$41)))*(MOD((YEAR(V$41)*12+MONTH(V$41))-Lançamentos!$V$5:$V$504,Lançamentos!$X$5:$X$504)=0)*Lançamentos!$J$5:$J$504)+SUMIFS(Lançamentos!$J$5:$J$504,Lançamentos!$D$5:$D$504,$B56,Lançamentos!$I$5:$I$504,"&gt;="&amp;V$41,Lançamentos!$I$5:$I$504,"&lt;"&amp;DATE(YEAR(V$41),MONTH(V$41)+1,1)))</f>
        <v>0</v>
      </c>
      <c r="W56" s="73" t="n">
        <f aca="false">IF($B56="",0,SUMPRODUCT((Lançamentos!$D$5:$D$504=$B56)*(Lançamentos!$V$5:$V$504&lt;(YEAR(W$41)*12+MONTH(W$41)))*(Lançamentos!$W$5:$W$504&gt;=(YEAR(W$41)*12+MONTH(W$41)))*(MOD((YEAR(W$41)*12+MONTH(W$41))-Lançamentos!$V$5:$V$504,Lançamentos!$X$5:$X$504)=0)*Lançamentos!$J$5:$J$504)+SUMIFS(Lançamentos!$J$5:$J$504,Lançamentos!$D$5:$D$504,$B56,Lançamentos!$I$5:$I$504,"&gt;="&amp;W$41,Lançamentos!$I$5:$I$504,"&lt;"&amp;DATE(YEAR(W$41),MONTH(W$41)+1,1)))</f>
        <v>0</v>
      </c>
      <c r="X56" s="73" t="n">
        <f aca="false">IF($B56="",0,SUMPRODUCT((Lançamentos!$D$5:$D$504=$B56)*(Lançamentos!$V$5:$V$504&lt;(YEAR(X$41)*12+MONTH(X$41)))*(Lançamentos!$W$5:$W$504&gt;=(YEAR(X$41)*12+MONTH(X$41)))*(MOD((YEAR(X$41)*12+MONTH(X$41))-Lançamentos!$V$5:$V$504,Lançamentos!$X$5:$X$504)=0)*Lançamentos!$J$5:$J$504)+SUMIFS(Lançamentos!$J$5:$J$504,Lançamentos!$D$5:$D$504,$B56,Lançamentos!$I$5:$I$504,"&gt;="&amp;X$41,Lançamentos!$I$5:$I$504,"&lt;"&amp;DATE(YEAR(X$41),MONTH(X$41)+1,1)))</f>
        <v>0</v>
      </c>
      <c r="Y56" s="73" t="n">
        <f aca="false">IF($B56="",0,SUMPRODUCT((Lançamentos!$D$5:$D$504=$B56)*(Lançamentos!$V$5:$V$504&lt;(YEAR(Y$41)*12+MONTH(Y$41)))*(Lançamentos!$W$5:$W$504&gt;=(YEAR(Y$41)*12+MONTH(Y$41)))*(MOD((YEAR(Y$41)*12+MONTH(Y$41))-Lançamentos!$V$5:$V$504,Lançamentos!$X$5:$X$504)=0)*Lançamentos!$J$5:$J$504)+SUMIFS(Lançamentos!$J$5:$J$504,Lançamentos!$D$5:$D$504,$B56,Lançamentos!$I$5:$I$504,"&gt;="&amp;Y$41,Lançamentos!$I$5:$I$504,"&lt;"&amp;DATE(YEAR(Y$41),MONTH(Y$41)+1,1)))</f>
        <v>0</v>
      </c>
      <c r="Z56" s="73" t="n">
        <f aca="false">IF($B56="",0,SUMPRODUCT((Lançamentos!$D$5:$D$504=$B56)*(Lançamentos!$V$5:$V$504&lt;(YEAR(Z$41)*12+MONTH(Z$41)))*(Lançamentos!$W$5:$W$504&gt;=(YEAR(Z$41)*12+MONTH(Z$41)))*(MOD((YEAR(Z$41)*12+MONTH(Z$41))-Lançamentos!$V$5:$V$504,Lançamentos!$X$5:$X$504)=0)*Lançamentos!$J$5:$J$504)+SUMIFS(Lançamentos!$J$5:$J$504,Lançamentos!$D$5:$D$504,$B56,Lançamentos!$I$5:$I$504,"&gt;="&amp;Z$41,Lançamentos!$I$5:$I$504,"&lt;"&amp;DATE(YEAR(Z$41),MONTH(Z$41)+1,1)))</f>
        <v>0</v>
      </c>
      <c r="AA56" s="73" t="n">
        <f aca="false">IF($B56="",0,SUMPRODUCT((Lançamentos!$D$5:$D$504=$B56)*(Lançamentos!$V$5:$V$504&lt;(YEAR(AA$41)*12+MONTH(AA$41)))*(Lançamentos!$W$5:$W$504&gt;=(YEAR(AA$41)*12+MONTH(AA$41)))*(MOD((YEAR(AA$41)*12+MONTH(AA$41))-Lançamentos!$V$5:$V$504,Lançamentos!$X$5:$X$504)=0)*Lançamentos!$J$5:$J$504)+SUMIFS(Lançamentos!$J$5:$J$504,Lançamentos!$D$5:$D$504,$B56,Lançamentos!$I$5:$I$504,"&gt;="&amp;AA$41,Lançamentos!$I$5:$I$504,"&lt;"&amp;DATE(YEAR(AA$41),MONTH(AA$41)+1,1)))</f>
        <v>0</v>
      </c>
    </row>
    <row r="57" customFormat="false" ht="15" hidden="false" customHeight="false" outlineLevel="0" collapsed="false">
      <c r="B57" s="75" t="s">
        <v>91</v>
      </c>
      <c r="C57" s="74" t="n">
        <f aca="false">SUMIFS($D57:$AA57,$D$41:$AA$41,"&gt;="&amp;DATE(YEAR($C$6),MONTH($C$6),1),$D$41:$AA$41,"&lt;="&amp;$E$6)</f>
        <v>0</v>
      </c>
      <c r="D57" s="55" t="n">
        <f aca="false">$E$13-SUM(D42:D56)</f>
        <v>0</v>
      </c>
      <c r="E57" s="55" t="n">
        <f aca="false">$E$14-SUM(E42:E56)</f>
        <v>0</v>
      </c>
      <c r="F57" s="55" t="n">
        <f aca="false">$E$15-SUM(F42:F56)</f>
        <v>0</v>
      </c>
      <c r="G57" s="55" t="n">
        <f aca="false">$E$16-SUM(G42:G56)</f>
        <v>0</v>
      </c>
      <c r="H57" s="55" t="n">
        <f aca="false">$E$17-SUM(H42:H56)</f>
        <v>0</v>
      </c>
      <c r="I57" s="55" t="n">
        <f aca="false">$E$18-SUM(I42:I56)</f>
        <v>0</v>
      </c>
      <c r="J57" s="55" t="n">
        <f aca="false">$E$19-SUM(J42:J56)</f>
        <v>0</v>
      </c>
      <c r="K57" s="55" t="n">
        <f aca="false">$E$20-SUM(K42:K56)</f>
        <v>0</v>
      </c>
      <c r="L57" s="55" t="n">
        <f aca="false">$E$21-SUM(L42:L56)</f>
        <v>0</v>
      </c>
      <c r="M57" s="55" t="n">
        <f aca="false">$E$22-SUM(M42:M56)</f>
        <v>0</v>
      </c>
      <c r="N57" s="55" t="n">
        <f aca="false">$E$23-SUM(N42:N56)</f>
        <v>0</v>
      </c>
      <c r="O57" s="55" t="n">
        <f aca="false">$E$24-SUM(O42:O56)</f>
        <v>0</v>
      </c>
      <c r="P57" s="55" t="n">
        <f aca="false">$E$25-SUM(P42:P56)</f>
        <v>0</v>
      </c>
      <c r="Q57" s="55" t="n">
        <f aca="false">$E$26-SUM(Q42:Q56)</f>
        <v>0</v>
      </c>
      <c r="R57" s="55" t="n">
        <f aca="false">$E$27-SUM(R42:R56)</f>
        <v>0</v>
      </c>
      <c r="S57" s="55" t="n">
        <f aca="false">$E$28-SUM(S42:S56)</f>
        <v>0</v>
      </c>
      <c r="T57" s="55" t="n">
        <f aca="false">$E$29-SUM(T42:T56)</f>
        <v>0</v>
      </c>
      <c r="U57" s="55" t="n">
        <f aca="false">$E$30-SUM(U42:U56)</f>
        <v>0</v>
      </c>
      <c r="V57" s="55" t="n">
        <f aca="false">$E$31-SUM(V42:V56)</f>
        <v>0</v>
      </c>
      <c r="W57" s="55" t="n">
        <f aca="false">$E$32-SUM(W42:W56)</f>
        <v>0</v>
      </c>
      <c r="X57" s="55" t="n">
        <f aca="false">$E$33-SUM(X42:X56)</f>
        <v>0</v>
      </c>
      <c r="Y57" s="55" t="n">
        <f aca="false">$E$34-SUM(Y42:Y56)</f>
        <v>0</v>
      </c>
      <c r="Z57" s="55" t="n">
        <f aca="false">$E$35-SUM(Z42:Z56)</f>
        <v>0</v>
      </c>
      <c r="AA57" s="55" t="n">
        <f aca="false">$E$36-SUM(AA42:AA56)</f>
        <v>0</v>
      </c>
    </row>
    <row r="58" customFormat="false" ht="15" hidden="false" customHeight="false" outlineLevel="0" collapsed="false">
      <c r="B58" s="41" t="s">
        <v>85</v>
      </c>
      <c r="C58" s="76" t="n">
        <f aca="false">SUMIFS($D58:$AA58,$D$41:$AA$41,"&gt;="&amp;DATE(YEAR($C$6),MONTH($C$6),1),$D$41:$AA$41,"&lt;="&amp;$E$6)</f>
        <v>25914</v>
      </c>
      <c r="D58" s="76" t="n">
        <f aca="false">SUM(D42:D57)</f>
        <v>4319</v>
      </c>
      <c r="E58" s="76" t="n">
        <f aca="false">SUM(E42:E57)</f>
        <v>4319</v>
      </c>
      <c r="F58" s="76" t="n">
        <f aca="false">SUM(F42:F57)</f>
        <v>4319</v>
      </c>
      <c r="G58" s="76" t="n">
        <f aca="false">SUM(G42:G57)</f>
        <v>4319</v>
      </c>
      <c r="H58" s="76" t="n">
        <f aca="false">SUM(H42:H57)</f>
        <v>4319</v>
      </c>
      <c r="I58" s="76" t="n">
        <f aca="false">SUM(I42:I57)</f>
        <v>4319</v>
      </c>
      <c r="J58" s="76" t="n">
        <f aca="false">SUM(J42:J57)</f>
        <v>4319</v>
      </c>
      <c r="K58" s="76" t="n">
        <f aca="false">SUM(K42:K57)</f>
        <v>4319</v>
      </c>
      <c r="L58" s="76" t="n">
        <f aca="false">SUM(L42:L57)</f>
        <v>4319</v>
      </c>
      <c r="M58" s="76" t="n">
        <f aca="false">SUM(M42:M57)</f>
        <v>4319</v>
      </c>
      <c r="N58" s="76" t="n">
        <f aca="false">SUM(N42:N57)</f>
        <v>4319</v>
      </c>
      <c r="O58" s="76" t="n">
        <f aca="false">SUM(O42:O57)</f>
        <v>4319</v>
      </c>
      <c r="P58" s="76" t="n">
        <f aca="false">SUM(P42:P57)</f>
        <v>4319</v>
      </c>
      <c r="Q58" s="76" t="n">
        <f aca="false">SUM(Q42:Q57)</f>
        <v>4319</v>
      </c>
      <c r="R58" s="76" t="n">
        <f aca="false">SUM(R42:R57)</f>
        <v>4319</v>
      </c>
      <c r="S58" s="76" t="n">
        <f aca="false">SUM(S42:S57)</f>
        <v>4319</v>
      </c>
      <c r="T58" s="76" t="n">
        <f aca="false">SUM(T42:T57)</f>
        <v>4319</v>
      </c>
      <c r="U58" s="76" t="n">
        <f aca="false">SUM(U42:U57)</f>
        <v>4319</v>
      </c>
      <c r="V58" s="76" t="n">
        <f aca="false">SUM(V42:V57)</f>
        <v>4319</v>
      </c>
      <c r="W58" s="76" t="n">
        <f aca="false">SUM(W42:W57)</f>
        <v>4319</v>
      </c>
      <c r="X58" s="76" t="n">
        <f aca="false">SUM(X42:X57)</f>
        <v>4319</v>
      </c>
      <c r="Y58" s="76" t="n">
        <f aca="false">SUM(Y42:Y57)</f>
        <v>4319</v>
      </c>
      <c r="Z58" s="76" t="n">
        <f aca="false">SUM(Z42:Z57)</f>
        <v>4319</v>
      </c>
      <c r="AA58" s="76" t="n">
        <f aca="false">SUM(AA42:AA57)</f>
        <v>4319</v>
      </c>
    </row>
  </sheetData>
  <mergeCells count="2">
    <mergeCell ref="B2:H2"/>
    <mergeCell ref="B3:H3"/>
  </mergeCells>
  <dataValidations count="1">
    <dataValidation allowBlank="false" errorStyle="stop" operator="between" showDropDown="false" showErrorMessage="true" showInputMessage="false" sqref="E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77" t="s">
        <v>92</v>
      </c>
    </row>
    <row r="2" customFormat="false" ht="15" hidden="false" customHeight="false" outlineLevel="0" collapsed="false">
      <c r="A2" s="78" t="s">
        <v>93</v>
      </c>
    </row>
    <row r="3" customFormat="false" ht="26.85" hidden="false" customHeight="false" outlineLevel="0" collapsed="false">
      <c r="A3" s="79" t="s">
        <v>29</v>
      </c>
      <c r="C3" s="79" t="s">
        <v>46</v>
      </c>
      <c r="E3" s="79" t="s">
        <v>47</v>
      </c>
      <c r="G3" s="79" t="s">
        <v>57</v>
      </c>
      <c r="I3" s="79" t="s">
        <v>58</v>
      </c>
    </row>
    <row r="4" customFormat="false" ht="15" hidden="false" customHeight="false" outlineLevel="0" collapsed="false">
      <c r="A4" s="80" t="s">
        <v>67</v>
      </c>
      <c r="C4" s="80" t="s">
        <v>68</v>
      </c>
      <c r="E4" s="80" t="s">
        <v>94</v>
      </c>
      <c r="G4" s="80" t="s">
        <v>95</v>
      </c>
      <c r="I4" s="80" t="s">
        <v>96</v>
      </c>
    </row>
    <row r="5" customFormat="false" ht="15" hidden="false" customHeight="false" outlineLevel="0" collapsed="false">
      <c r="A5" s="80" t="s">
        <v>97</v>
      </c>
      <c r="C5" s="80" t="s">
        <v>98</v>
      </c>
      <c r="E5" s="80" t="s">
        <v>69</v>
      </c>
      <c r="G5" s="80" t="s">
        <v>99</v>
      </c>
      <c r="I5" s="80" t="s">
        <v>100</v>
      </c>
    </row>
    <row r="6" customFormat="false" ht="15" hidden="false" customHeight="false" outlineLevel="0" collapsed="false">
      <c r="A6" s="80" t="s">
        <v>101</v>
      </c>
      <c r="E6" s="80" t="s">
        <v>102</v>
      </c>
      <c r="G6" s="80" t="s">
        <v>103</v>
      </c>
      <c r="I6" s="80" t="s">
        <v>104</v>
      </c>
    </row>
    <row r="7" customFormat="false" ht="15" hidden="false" customHeight="false" outlineLevel="0" collapsed="false">
      <c r="A7" s="80" t="s">
        <v>105</v>
      </c>
      <c r="E7" s="80" t="s">
        <v>106</v>
      </c>
      <c r="G7" s="80" t="s">
        <v>107</v>
      </c>
      <c r="I7" s="80"/>
    </row>
    <row r="8" customFormat="false" ht="15" hidden="false" customHeight="false" outlineLevel="0" collapsed="false">
      <c r="A8" s="80" t="s">
        <v>108</v>
      </c>
      <c r="E8" s="80" t="s">
        <v>109</v>
      </c>
      <c r="G8" s="80" t="s">
        <v>110</v>
      </c>
      <c r="I8" s="80"/>
    </row>
    <row r="9" customFormat="false" ht="15" hidden="false" customHeight="false" outlineLevel="0" collapsed="false">
      <c r="A9" s="80" t="s">
        <v>111</v>
      </c>
      <c r="E9" s="80" t="s">
        <v>112</v>
      </c>
      <c r="G9" s="80" t="s">
        <v>113</v>
      </c>
      <c r="I9" s="80"/>
    </row>
    <row r="10" customFormat="false" ht="15" hidden="false" customHeight="false" outlineLevel="0" collapsed="false">
      <c r="A10" s="80" t="s">
        <v>114</v>
      </c>
      <c r="G10" s="80"/>
    </row>
    <row r="11" customFormat="false" ht="15" hidden="false" customHeight="false" outlineLevel="0" collapsed="false">
      <c r="A11" s="80" t="s">
        <v>115</v>
      </c>
      <c r="G11" s="80"/>
    </row>
    <row r="12" customFormat="false" ht="15" hidden="false" customHeight="false" outlineLevel="0" collapsed="false">
      <c r="A12" s="80" t="s">
        <v>116</v>
      </c>
    </row>
    <row r="13" customFormat="false" ht="15" hidden="false" customHeight="false" outlineLevel="0" collapsed="false">
      <c r="A13" s="80" t="s">
        <v>117</v>
      </c>
    </row>
    <row r="14" customFormat="false" ht="15" hidden="false" customHeight="false" outlineLevel="0" collapsed="false">
      <c r="A14" s="80" t="s">
        <v>118</v>
      </c>
    </row>
    <row r="15" customFormat="false" ht="15" hidden="false" customHeight="false" outlineLevel="0" collapsed="false">
      <c r="A15" s="80" t="s">
        <v>119</v>
      </c>
    </row>
    <row r="16" customFormat="false" ht="15" hidden="false" customHeight="false" outlineLevel="0" collapsed="false">
      <c r="A16" s="80"/>
    </row>
    <row r="17" customFormat="false" ht="15" hidden="false" customHeight="false" outlineLevel="0" collapsed="false">
      <c r="A17" s="80"/>
    </row>
    <row r="18" customFormat="false" ht="15" hidden="false" customHeight="false" outlineLevel="0" collapsed="false">
      <c r="A18" s="8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2026-10-01T13:41:24Z</dcterms:created>
  <dc:creator>openpyxl</dc:creator>
  <dc:description/>
  <dc:language>en-US</dc:language>
  <cp:lastModifiedBy/>
  <dcterms:modified xsi:type="dcterms:W3CDTF">2026-10-01T10:41:33Z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